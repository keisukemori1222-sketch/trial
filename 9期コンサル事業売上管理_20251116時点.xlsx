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newone01-my.sharepoint.com/personal/k-mori_new-one_co_jp/Documents/デスクトップ/"/>
    </mc:Choice>
  </mc:AlternateContent>
  <xr:revisionPtr revIDLastSave="0" documentId="8_{5D3DB297-9BC9-4FCD-935B-B76AF0F1B394}" xr6:coauthVersionLast="47" xr6:coauthVersionMax="47" xr10:uidLastSave="{00000000-0000-0000-0000-000000000000}"/>
  <bookViews>
    <workbookView xWindow="-110" yWindow="-110" windowWidth="19420" windowHeight="11500" tabRatio="910" firstSheet="1" activeTab="5" xr2:uid="{00000000-000D-0000-FFFF-FFFF00000000}"/>
  </bookViews>
  <sheets>
    <sheet name="【表示用】各メンバーCH" sheetId="7" r:id="rId1"/>
    <sheet name="【表示用】9期売上" sheetId="9" r:id="rId2"/>
    <sheet name="【表示用】案件ごと売上" sheetId="12" r:id="rId3"/>
    <sheet name="【入力用①】パイプライン" sheetId="5" r:id="rId4"/>
    <sheet name="【入力用②】案件ごと売上（D案件以上）" sheetId="11" r:id="rId5"/>
    <sheet name="【入力用③】案件ごとCH（D案件以上）" sheetId="6" r:id="rId6"/>
    <sheet name="【管理用】BR_260204" sheetId="16" r:id="rId7"/>
    <sheet name="【管理用】プルダウン" sheetId="2" r:id="rId8"/>
    <sheet name="KAC売上見込み" sheetId="13" r:id="rId9"/>
  </sheets>
  <definedNames>
    <definedName name="_xlnm._FilterDatabase" localSheetId="3" hidden="1">【入力用①】パイプライン!$A$2:$X$2</definedName>
    <definedName name="_xlnm._FilterDatabase" localSheetId="4" hidden="1">'【入力用②】案件ごと売上（D案件以上）'!$B$4:$Y$103</definedName>
    <definedName name="_xlnm._FilterDatabase" localSheetId="5" hidden="1">'【入力用③】案件ごとCH（D案件以上）'!$B$4:$AM$151</definedName>
  </definedNames>
  <calcPr calcId="191028"/>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9" i="11" l="1"/>
  <c r="AK8" i="6"/>
  <c r="AL8" i="6"/>
  <c r="AK9" i="6"/>
  <c r="AL9" i="6"/>
  <c r="AK11" i="6"/>
  <c r="AL11" i="6"/>
  <c r="AF18" i="6"/>
  <c r="AI18" i="6"/>
  <c r="AK18" i="6"/>
  <c r="AL18" i="6"/>
  <c r="AK21" i="6"/>
  <c r="AL21" i="6"/>
  <c r="AF27" i="6"/>
  <c r="AI27" i="6"/>
  <c r="AK27" i="6"/>
  <c r="AL27" i="6"/>
  <c r="AK29" i="6"/>
  <c r="AL29" i="6"/>
  <c r="AK32" i="6"/>
  <c r="AL32" i="6"/>
  <c r="AI36" i="6"/>
  <c r="AK36" i="6"/>
  <c r="AL36" i="6"/>
  <c r="AK39" i="6"/>
  <c r="AL39" i="6"/>
  <c r="AK41" i="6"/>
  <c r="AL41" i="6"/>
  <c r="AF42" i="6"/>
  <c r="AI42" i="6"/>
  <c r="AK42" i="6"/>
  <c r="AL42" i="6"/>
  <c r="AK44" i="6"/>
  <c r="AL44" i="6"/>
  <c r="AF45" i="6"/>
  <c r="AI45" i="6"/>
  <c r="AK45" i="6"/>
  <c r="AL45" i="6"/>
  <c r="AK47" i="6"/>
  <c r="AL47" i="6"/>
  <c r="AK48" i="6"/>
  <c r="AL48" i="6"/>
  <c r="AK50" i="6"/>
  <c r="AL50" i="6"/>
  <c r="AF51" i="6"/>
  <c r="AI51" i="6"/>
  <c r="AK51" i="6"/>
  <c r="AL51" i="6"/>
  <c r="AF54" i="6"/>
  <c r="AI54" i="6"/>
  <c r="AK54" i="6"/>
  <c r="AL54" i="6"/>
  <c r="AL58" i="6"/>
  <c r="AA59" i="6"/>
  <c r="AB59" i="6"/>
  <c r="AC59" i="6"/>
  <c r="AD59" i="6"/>
  <c r="AE59" i="6"/>
  <c r="AF59" i="6"/>
  <c r="AG59" i="6"/>
  <c r="AH59" i="6"/>
  <c r="AI59" i="6"/>
  <c r="AJ59" i="6"/>
  <c r="AK59" i="6"/>
  <c r="AL59" i="6"/>
  <c r="AB62" i="6"/>
  <c r="AB65" i="6"/>
  <c r="AL65" i="6"/>
  <c r="AF66" i="6"/>
  <c r="AH66" i="6"/>
  <c r="AI66" i="6"/>
  <c r="AK67" i="6"/>
  <c r="AL67" i="6"/>
  <c r="AB68" i="6"/>
  <c r="AL68" i="6"/>
  <c r="AF69" i="6"/>
  <c r="AH69" i="6"/>
  <c r="AI69" i="6"/>
  <c r="AK70" i="6"/>
  <c r="AL70" i="6"/>
  <c r="AB71" i="6"/>
  <c r="AL71" i="6"/>
  <c r="AF72" i="6"/>
  <c r="AH72" i="6"/>
  <c r="AI72" i="6"/>
  <c r="AI73" i="6"/>
  <c r="AJ73" i="6"/>
  <c r="AK73" i="6"/>
  <c r="AK74" i="6"/>
  <c r="AL74" i="6"/>
  <c r="AA76" i="6"/>
  <c r="AB76" i="6"/>
  <c r="AC76" i="6"/>
  <c r="AA77" i="6"/>
  <c r="AB77" i="6"/>
  <c r="AC77" i="6"/>
  <c r="AD77" i="6"/>
  <c r="AF77" i="6"/>
  <c r="AK80" i="6"/>
  <c r="AL80" i="6"/>
  <c r="AA81" i="6"/>
  <c r="AH81" i="6"/>
  <c r="AI81" i="6"/>
  <c r="AJ81" i="6"/>
  <c r="AK81" i="6"/>
  <c r="AL81" i="6"/>
  <c r="AA82" i="6"/>
  <c r="AB82" i="6"/>
  <c r="AA85" i="6"/>
  <c r="AB85" i="6"/>
  <c r="AC85" i="6"/>
  <c r="AD85" i="6"/>
  <c r="AE85" i="6"/>
  <c r="AF85" i="6"/>
  <c r="AG85" i="6"/>
  <c r="AH85" i="6"/>
  <c r="AI85" i="6"/>
  <c r="AJ85" i="6"/>
  <c r="AK85" i="6"/>
  <c r="AL85" i="6"/>
  <c r="AC86" i="6"/>
  <c r="AD86" i="6"/>
  <c r="AF86" i="6"/>
  <c r="AF88" i="6"/>
  <c r="AG88" i="6"/>
  <c r="AH88" i="6"/>
  <c r="AG89" i="6"/>
  <c r="AH89" i="6"/>
  <c r="AI89" i="6"/>
  <c r="AH90" i="6"/>
  <c r="AI90" i="6"/>
  <c r="AJ90" i="6"/>
  <c r="AD91" i="6"/>
  <c r="AF91" i="6"/>
  <c r="AG91" i="6"/>
  <c r="AH91" i="6"/>
  <c r="AI91" i="6"/>
  <c r="AJ91" i="6"/>
  <c r="AK91" i="6"/>
  <c r="AJ92" i="6"/>
  <c r="AK92" i="6"/>
  <c r="AL92" i="6"/>
  <c r="AA94" i="6"/>
  <c r="AB94" i="6"/>
  <c r="AC94" i="6"/>
  <c r="AD94" i="6"/>
  <c r="AE94" i="6"/>
  <c r="AF94" i="6"/>
  <c r="AG94" i="6"/>
  <c r="AH94" i="6"/>
  <c r="AI94" i="6"/>
  <c r="AJ94" i="6"/>
  <c r="AK94" i="6"/>
  <c r="AL94" i="6"/>
  <c r="AA95" i="6"/>
  <c r="AB95" i="6"/>
  <c r="AC95" i="6"/>
  <c r="AD95" i="6"/>
  <c r="AE95" i="6"/>
  <c r="AF95" i="6"/>
  <c r="AG95" i="6"/>
  <c r="AH95" i="6"/>
  <c r="AI95" i="6"/>
  <c r="AJ95" i="6"/>
  <c r="AK95" i="6"/>
  <c r="AL95" i="6"/>
  <c r="AA96" i="6"/>
  <c r="AB96" i="6"/>
  <c r="AC96" i="6"/>
  <c r="AD96" i="6"/>
  <c r="AE96" i="6"/>
  <c r="AF96" i="6"/>
  <c r="AG96" i="6"/>
  <c r="AH96" i="6"/>
  <c r="AI96" i="6"/>
  <c r="AJ96" i="6"/>
  <c r="AK96" i="6"/>
  <c r="AL96" i="6"/>
  <c r="AA97" i="6"/>
  <c r="AB97" i="6"/>
  <c r="AC97" i="6"/>
  <c r="AD97" i="6"/>
  <c r="AE97" i="6"/>
  <c r="AF97" i="6"/>
  <c r="AG97" i="6"/>
  <c r="AH97" i="6"/>
  <c r="AI97" i="6"/>
  <c r="AJ97" i="6"/>
  <c r="AK97" i="6"/>
  <c r="AL97" i="6"/>
  <c r="AA98" i="6"/>
  <c r="AB98" i="6"/>
  <c r="AC98" i="6"/>
  <c r="AD98" i="6"/>
  <c r="AE98" i="6"/>
  <c r="AF98" i="6"/>
  <c r="AG98" i="6"/>
  <c r="AH98" i="6"/>
  <c r="AI98" i="6"/>
  <c r="AJ98" i="6"/>
  <c r="AK98" i="6"/>
  <c r="AL98" i="6"/>
  <c r="AA99" i="6"/>
  <c r="AB99" i="6"/>
  <c r="AC99" i="6"/>
  <c r="AD99" i="6"/>
  <c r="AE99" i="6"/>
  <c r="AF99" i="6"/>
  <c r="AG99" i="6"/>
  <c r="AH99" i="6"/>
  <c r="AI99" i="6"/>
  <c r="AJ99" i="6"/>
  <c r="AK99" i="6"/>
  <c r="AL99" i="6"/>
  <c r="AA100" i="6"/>
  <c r="AB100" i="6"/>
  <c r="AC100" i="6"/>
  <c r="AD100" i="6"/>
  <c r="AE100" i="6"/>
  <c r="AF100" i="6"/>
  <c r="AG100" i="6"/>
  <c r="AH100" i="6"/>
  <c r="AI100" i="6"/>
  <c r="AJ100" i="6"/>
  <c r="AK100" i="6"/>
  <c r="AL100" i="6"/>
  <c r="AA101" i="6"/>
  <c r="AB101" i="6"/>
  <c r="AC101" i="6"/>
  <c r="AD101" i="6"/>
  <c r="AE101" i="6"/>
  <c r="AF101" i="6"/>
  <c r="AG101" i="6"/>
  <c r="AH101" i="6"/>
  <c r="AI101" i="6"/>
  <c r="AJ101" i="6"/>
  <c r="AK101" i="6"/>
  <c r="AL101" i="6"/>
  <c r="AA102" i="6"/>
  <c r="AB102" i="6"/>
  <c r="AC102" i="6"/>
  <c r="AD102" i="6"/>
  <c r="AE102" i="6"/>
  <c r="AF102" i="6"/>
  <c r="AG102" i="6"/>
  <c r="AH102" i="6"/>
  <c r="AI102" i="6"/>
  <c r="AJ102" i="6"/>
  <c r="AK102" i="6"/>
  <c r="AL102" i="6"/>
  <c r="AA103" i="6"/>
  <c r="AB103" i="6"/>
  <c r="AC103" i="6"/>
  <c r="AD103" i="6"/>
  <c r="AE103" i="6"/>
  <c r="AF103" i="6"/>
  <c r="AG103" i="6"/>
  <c r="AH103" i="6"/>
  <c r="AI103" i="6"/>
  <c r="AJ103" i="6"/>
  <c r="AK103" i="6"/>
  <c r="AL103" i="6"/>
  <c r="AA104" i="6"/>
  <c r="AB104" i="6"/>
  <c r="AC104" i="6"/>
  <c r="AD104" i="6"/>
  <c r="AE104" i="6"/>
  <c r="AF104" i="6"/>
  <c r="AG104" i="6"/>
  <c r="AH104" i="6"/>
  <c r="AI104" i="6"/>
  <c r="AJ104" i="6"/>
  <c r="AK104" i="6"/>
  <c r="AL104" i="6"/>
  <c r="AA105" i="6"/>
  <c r="AB105" i="6"/>
  <c r="AC105" i="6"/>
  <c r="AD105" i="6"/>
  <c r="AE105" i="6"/>
  <c r="AF105" i="6"/>
  <c r="AG105" i="6"/>
  <c r="AH105" i="6"/>
  <c r="AI105" i="6"/>
  <c r="AJ105" i="6"/>
  <c r="AK105" i="6"/>
  <c r="AL105" i="6"/>
  <c r="AA106" i="6"/>
  <c r="AB106" i="6"/>
  <c r="AC106" i="6"/>
  <c r="AD106" i="6"/>
  <c r="AE106" i="6"/>
  <c r="AF106" i="6"/>
  <c r="AG106" i="6"/>
  <c r="AH106" i="6"/>
  <c r="AI106" i="6"/>
  <c r="AJ106" i="6"/>
  <c r="AK106" i="6"/>
  <c r="AL106" i="6"/>
  <c r="AA107" i="6"/>
  <c r="AB107" i="6"/>
  <c r="AC107" i="6"/>
  <c r="AD107" i="6"/>
  <c r="AE107" i="6"/>
  <c r="AF107" i="6"/>
  <c r="AG107" i="6"/>
  <c r="AH107" i="6"/>
  <c r="AI107" i="6"/>
  <c r="AJ107" i="6"/>
  <c r="AK107" i="6"/>
  <c r="AL107" i="6"/>
  <c r="AA108" i="6"/>
  <c r="AB108" i="6"/>
  <c r="AC108" i="6"/>
  <c r="AD108" i="6"/>
  <c r="AE108" i="6"/>
  <c r="AF108" i="6"/>
  <c r="AG108" i="6"/>
  <c r="AH108" i="6"/>
  <c r="AI108" i="6"/>
  <c r="AJ108" i="6"/>
  <c r="AK108" i="6"/>
  <c r="AL108" i="6"/>
  <c r="AA109" i="6"/>
  <c r="AB109" i="6"/>
  <c r="AC109" i="6"/>
  <c r="AD109" i="6"/>
  <c r="AE109" i="6"/>
  <c r="AF109" i="6"/>
  <c r="AG109" i="6"/>
  <c r="AH109" i="6"/>
  <c r="AI109" i="6"/>
  <c r="AJ109" i="6"/>
  <c r="AK109" i="6"/>
  <c r="AL109" i="6"/>
  <c r="AA110" i="6"/>
  <c r="AB110" i="6"/>
  <c r="AC110" i="6"/>
  <c r="AD110" i="6"/>
  <c r="AE110" i="6"/>
  <c r="AF110" i="6"/>
  <c r="AG110" i="6"/>
  <c r="AH110" i="6"/>
  <c r="AI110" i="6"/>
  <c r="AJ110" i="6"/>
  <c r="AK110" i="6"/>
  <c r="AL110" i="6"/>
  <c r="AA111" i="6"/>
  <c r="AB111" i="6"/>
  <c r="AC111" i="6"/>
  <c r="AD111" i="6"/>
  <c r="AE111" i="6"/>
  <c r="AF111" i="6"/>
  <c r="AG111" i="6"/>
  <c r="AH111" i="6"/>
  <c r="AI111" i="6"/>
  <c r="AJ111" i="6"/>
  <c r="AK111" i="6"/>
  <c r="AL111" i="6"/>
  <c r="AA112" i="6"/>
  <c r="AB112" i="6"/>
  <c r="AC112" i="6"/>
  <c r="AD112" i="6"/>
  <c r="AE112" i="6"/>
  <c r="AF112" i="6"/>
  <c r="AG112" i="6"/>
  <c r="AH112" i="6"/>
  <c r="AI112" i="6"/>
  <c r="AJ112" i="6"/>
  <c r="AK112" i="6"/>
  <c r="AL112" i="6"/>
  <c r="AA113" i="6"/>
  <c r="AB113" i="6"/>
  <c r="AC113" i="6"/>
  <c r="AD113" i="6"/>
  <c r="AE113" i="6"/>
  <c r="AF113" i="6"/>
  <c r="AG113" i="6"/>
  <c r="AH113" i="6"/>
  <c r="AI113" i="6"/>
  <c r="AJ113" i="6"/>
  <c r="AK113" i="6"/>
  <c r="AL113" i="6"/>
  <c r="AA114" i="6"/>
  <c r="AB114" i="6"/>
  <c r="AC114" i="6"/>
  <c r="AD114" i="6"/>
  <c r="AE114" i="6"/>
  <c r="AF114" i="6"/>
  <c r="AG114" i="6"/>
  <c r="AH114" i="6"/>
  <c r="AI114" i="6"/>
  <c r="AJ114" i="6"/>
  <c r="AK114" i="6"/>
  <c r="AL114" i="6"/>
  <c r="AA115" i="6"/>
  <c r="AB115" i="6"/>
  <c r="AC115" i="6"/>
  <c r="AD115" i="6"/>
  <c r="AE115" i="6"/>
  <c r="AF115" i="6"/>
  <c r="AG115" i="6"/>
  <c r="AH115" i="6"/>
  <c r="AI115" i="6"/>
  <c r="AJ115" i="6"/>
  <c r="AK115" i="6"/>
  <c r="AL115" i="6"/>
  <c r="AA116" i="6"/>
  <c r="AB116" i="6"/>
  <c r="AC116" i="6"/>
  <c r="AD116" i="6"/>
  <c r="AE116" i="6"/>
  <c r="AF116" i="6"/>
  <c r="AG116" i="6"/>
  <c r="AH116" i="6"/>
  <c r="AI116" i="6"/>
  <c r="AJ116" i="6"/>
  <c r="AK116" i="6"/>
  <c r="AL116" i="6"/>
  <c r="AA117" i="6"/>
  <c r="AB117" i="6"/>
  <c r="AC117" i="6"/>
  <c r="AD117" i="6"/>
  <c r="AE117" i="6"/>
  <c r="AF117" i="6"/>
  <c r="AG117" i="6"/>
  <c r="AH117" i="6"/>
  <c r="AI117" i="6"/>
  <c r="AJ117" i="6"/>
  <c r="AK117" i="6"/>
  <c r="AL117" i="6"/>
  <c r="AA118" i="6"/>
  <c r="AB118" i="6"/>
  <c r="AC118" i="6"/>
  <c r="AD118" i="6"/>
  <c r="AE118" i="6"/>
  <c r="AF118" i="6"/>
  <c r="AG118" i="6"/>
  <c r="AH118" i="6"/>
  <c r="AI118" i="6"/>
  <c r="AJ118" i="6"/>
  <c r="AK118" i="6"/>
  <c r="AL118" i="6"/>
  <c r="AA119" i="6"/>
  <c r="AB119" i="6"/>
  <c r="AC119" i="6"/>
  <c r="AD119" i="6"/>
  <c r="AE119" i="6"/>
  <c r="AF119" i="6"/>
  <c r="AG119" i="6"/>
  <c r="AH119" i="6"/>
  <c r="AI119" i="6"/>
  <c r="AJ119" i="6"/>
  <c r="AK119" i="6"/>
  <c r="AL119" i="6"/>
  <c r="AA120" i="6"/>
  <c r="AB120" i="6"/>
  <c r="AC120" i="6"/>
  <c r="AD120" i="6"/>
  <c r="AE120" i="6"/>
  <c r="AF120" i="6"/>
  <c r="AG120" i="6"/>
  <c r="AH120" i="6"/>
  <c r="AI120" i="6"/>
  <c r="AJ120" i="6"/>
  <c r="AK120" i="6"/>
  <c r="AL120" i="6"/>
  <c r="AA121" i="6"/>
  <c r="AB121" i="6"/>
  <c r="AC121" i="6"/>
  <c r="AD121" i="6"/>
  <c r="AE121" i="6"/>
  <c r="AF121" i="6"/>
  <c r="AG121" i="6"/>
  <c r="AH121" i="6"/>
  <c r="AI121" i="6"/>
  <c r="AJ121" i="6"/>
  <c r="AK121" i="6"/>
  <c r="AL121" i="6"/>
  <c r="AA122" i="6"/>
  <c r="AB122" i="6"/>
  <c r="AC122" i="6"/>
  <c r="AD122" i="6"/>
  <c r="AE122" i="6"/>
  <c r="AF122" i="6"/>
  <c r="AG122" i="6"/>
  <c r="AH122" i="6"/>
  <c r="AI122" i="6"/>
  <c r="AJ122" i="6"/>
  <c r="AK122" i="6"/>
  <c r="AL122" i="6"/>
  <c r="AA123" i="6"/>
  <c r="AB123" i="6"/>
  <c r="AC123" i="6"/>
  <c r="AD123" i="6"/>
  <c r="AE123" i="6"/>
  <c r="AF123" i="6"/>
  <c r="AG123" i="6"/>
  <c r="AH123" i="6"/>
  <c r="AI123" i="6"/>
  <c r="AJ123" i="6"/>
  <c r="AK123" i="6"/>
  <c r="AL123" i="6"/>
  <c r="AA124" i="6"/>
  <c r="AB124" i="6"/>
  <c r="AC124" i="6"/>
  <c r="AD124" i="6"/>
  <c r="AE124" i="6"/>
  <c r="AF124" i="6"/>
  <c r="AG124" i="6"/>
  <c r="AH124" i="6"/>
  <c r="AI124" i="6"/>
  <c r="AJ124" i="6"/>
  <c r="AK124" i="6"/>
  <c r="AL124" i="6"/>
  <c r="AA125" i="6"/>
  <c r="AB125" i="6"/>
  <c r="AC125" i="6"/>
  <c r="AD125" i="6"/>
  <c r="AE125" i="6"/>
  <c r="AF125" i="6"/>
  <c r="AG125" i="6"/>
  <c r="AH125" i="6"/>
  <c r="AI125" i="6"/>
  <c r="AJ125" i="6"/>
  <c r="AK125" i="6"/>
  <c r="AL125" i="6"/>
  <c r="AA126" i="6"/>
  <c r="AB126" i="6"/>
  <c r="AC126" i="6"/>
  <c r="AD126" i="6"/>
  <c r="AE126" i="6"/>
  <c r="AF126" i="6"/>
  <c r="AG126" i="6"/>
  <c r="AH126" i="6"/>
  <c r="AI126" i="6"/>
  <c r="AJ126" i="6"/>
  <c r="AK126" i="6"/>
  <c r="AL126" i="6"/>
  <c r="AA127" i="6"/>
  <c r="AB127" i="6"/>
  <c r="AC127" i="6"/>
  <c r="AD127" i="6"/>
  <c r="AE127" i="6"/>
  <c r="AF127" i="6"/>
  <c r="AG127" i="6"/>
  <c r="AH127" i="6"/>
  <c r="AI127" i="6"/>
  <c r="AJ127" i="6"/>
  <c r="AK127" i="6"/>
  <c r="AL127" i="6"/>
  <c r="AA128" i="6"/>
  <c r="AB128" i="6"/>
  <c r="AC128" i="6"/>
  <c r="AD128" i="6"/>
  <c r="AE128" i="6"/>
  <c r="AF128" i="6"/>
  <c r="AG128" i="6"/>
  <c r="AH128" i="6"/>
  <c r="AI128" i="6"/>
  <c r="AJ128" i="6"/>
  <c r="AK128" i="6"/>
  <c r="AL128" i="6"/>
  <c r="AA129" i="6"/>
  <c r="AB129" i="6"/>
  <c r="AC129" i="6"/>
  <c r="AD129" i="6"/>
  <c r="AE129" i="6"/>
  <c r="AF129" i="6"/>
  <c r="AG129" i="6"/>
  <c r="AH129" i="6"/>
  <c r="AI129" i="6"/>
  <c r="AJ129" i="6"/>
  <c r="AK129" i="6"/>
  <c r="AL129" i="6"/>
  <c r="AA130" i="6"/>
  <c r="AB130" i="6"/>
  <c r="AC130" i="6"/>
  <c r="AD130" i="6"/>
  <c r="AE130" i="6"/>
  <c r="AF130" i="6"/>
  <c r="AG130" i="6"/>
  <c r="AH130" i="6"/>
  <c r="AI130" i="6"/>
  <c r="AJ130" i="6"/>
  <c r="AK130" i="6"/>
  <c r="AL130" i="6"/>
  <c r="AA131" i="6"/>
  <c r="AB131" i="6"/>
  <c r="AC131" i="6"/>
  <c r="AD131" i="6"/>
  <c r="AE131" i="6"/>
  <c r="AF131" i="6"/>
  <c r="AG131" i="6"/>
  <c r="AH131" i="6"/>
  <c r="AI131" i="6"/>
  <c r="AJ131" i="6"/>
  <c r="AK131" i="6"/>
  <c r="AL131" i="6"/>
  <c r="AA132" i="6"/>
  <c r="AB132" i="6"/>
  <c r="AC132" i="6"/>
  <c r="AD132" i="6"/>
  <c r="AE132" i="6"/>
  <c r="AF132" i="6"/>
  <c r="AG132" i="6"/>
  <c r="AH132" i="6"/>
  <c r="AI132" i="6"/>
  <c r="AJ132" i="6"/>
  <c r="AK132" i="6"/>
  <c r="AL132" i="6"/>
  <c r="AA133" i="6"/>
  <c r="AB133" i="6"/>
  <c r="AC133" i="6"/>
  <c r="AD133" i="6"/>
  <c r="AE133" i="6"/>
  <c r="AF133" i="6"/>
  <c r="AG133" i="6"/>
  <c r="AH133" i="6"/>
  <c r="AI133" i="6"/>
  <c r="AJ133" i="6"/>
  <c r="AK133" i="6"/>
  <c r="AL133" i="6"/>
  <c r="AA134" i="6"/>
  <c r="AB134" i="6"/>
  <c r="AC134" i="6"/>
  <c r="AD134" i="6"/>
  <c r="AE134" i="6"/>
  <c r="AF134" i="6"/>
  <c r="AG134" i="6"/>
  <c r="AH134" i="6"/>
  <c r="AI134" i="6"/>
  <c r="AJ134" i="6"/>
  <c r="AK134" i="6"/>
  <c r="AL134" i="6"/>
  <c r="AA135" i="6"/>
  <c r="AB135" i="6"/>
  <c r="AC135" i="6"/>
  <c r="AD135" i="6"/>
  <c r="AE135" i="6"/>
  <c r="AF135" i="6"/>
  <c r="AG135" i="6"/>
  <c r="AH135" i="6"/>
  <c r="AI135" i="6"/>
  <c r="AJ135" i="6"/>
  <c r="AK135" i="6"/>
  <c r="AL135" i="6"/>
  <c r="AA136" i="6"/>
  <c r="AB136" i="6"/>
  <c r="AC136" i="6"/>
  <c r="AD136" i="6"/>
  <c r="AE136" i="6"/>
  <c r="AF136" i="6"/>
  <c r="AG136" i="6"/>
  <c r="AH136" i="6"/>
  <c r="AI136" i="6"/>
  <c r="AJ136" i="6"/>
  <c r="AK136" i="6"/>
  <c r="AL136" i="6"/>
  <c r="AA137" i="6"/>
  <c r="AB137" i="6"/>
  <c r="AC137" i="6"/>
  <c r="AD137" i="6"/>
  <c r="AE137" i="6"/>
  <c r="AF137" i="6"/>
  <c r="AG137" i="6"/>
  <c r="AH137" i="6"/>
  <c r="AI137" i="6"/>
  <c r="AJ137" i="6"/>
  <c r="AK137" i="6"/>
  <c r="AL137" i="6"/>
  <c r="AA138" i="6"/>
  <c r="AB138" i="6"/>
  <c r="AC138" i="6"/>
  <c r="AD138" i="6"/>
  <c r="AE138" i="6"/>
  <c r="AF138" i="6"/>
  <c r="AG138" i="6"/>
  <c r="AH138" i="6"/>
  <c r="AI138" i="6"/>
  <c r="AJ138" i="6"/>
  <c r="AK138" i="6"/>
  <c r="AL138" i="6"/>
  <c r="AA139" i="6"/>
  <c r="AB139" i="6"/>
  <c r="AC139" i="6"/>
  <c r="AD139" i="6"/>
  <c r="AE139" i="6"/>
  <c r="AF139" i="6"/>
  <c r="AG139" i="6"/>
  <c r="AH139" i="6"/>
  <c r="AI139" i="6"/>
  <c r="AJ139" i="6"/>
  <c r="AK139" i="6"/>
  <c r="AL139" i="6"/>
  <c r="AA140" i="6"/>
  <c r="AB140" i="6"/>
  <c r="AC140" i="6"/>
  <c r="AD140" i="6"/>
  <c r="AE140" i="6"/>
  <c r="AF140" i="6"/>
  <c r="AG140" i="6"/>
  <c r="AH140" i="6"/>
  <c r="AI140" i="6"/>
  <c r="AJ140" i="6"/>
  <c r="AK140" i="6"/>
  <c r="AL140" i="6"/>
  <c r="AA141" i="6"/>
  <c r="AB141" i="6"/>
  <c r="AC141" i="6"/>
  <c r="AD141" i="6"/>
  <c r="AE141" i="6"/>
  <c r="AF141" i="6"/>
  <c r="AG141" i="6"/>
  <c r="AH141" i="6"/>
  <c r="AI141" i="6"/>
  <c r="AJ141" i="6"/>
  <c r="AK141" i="6"/>
  <c r="AL141" i="6"/>
  <c r="AA142" i="6"/>
  <c r="AB142" i="6"/>
  <c r="AC142" i="6"/>
  <c r="AD142" i="6"/>
  <c r="AE142" i="6"/>
  <c r="AF142" i="6"/>
  <c r="AG142" i="6"/>
  <c r="AH142" i="6"/>
  <c r="AI142" i="6"/>
  <c r="AJ142" i="6"/>
  <c r="AK142" i="6"/>
  <c r="AL142" i="6"/>
  <c r="AA143" i="6"/>
  <c r="AB143" i="6"/>
  <c r="AC143" i="6"/>
  <c r="AD143" i="6"/>
  <c r="AE143" i="6"/>
  <c r="AF143" i="6"/>
  <c r="AG143" i="6"/>
  <c r="AH143" i="6"/>
  <c r="AI143" i="6"/>
  <c r="AJ143" i="6"/>
  <c r="AK143" i="6"/>
  <c r="AL143" i="6"/>
  <c r="AA144" i="6"/>
  <c r="AB144" i="6"/>
  <c r="AC144" i="6"/>
  <c r="AD144" i="6"/>
  <c r="AE144" i="6"/>
  <c r="AF144" i="6"/>
  <c r="AG144" i="6"/>
  <c r="AH144" i="6"/>
  <c r="AI144" i="6"/>
  <c r="AJ144" i="6"/>
  <c r="AK144" i="6"/>
  <c r="AL144" i="6"/>
  <c r="AA145" i="6"/>
  <c r="AB145" i="6"/>
  <c r="AC145" i="6"/>
  <c r="AD145" i="6"/>
  <c r="AE145" i="6"/>
  <c r="AF145" i="6"/>
  <c r="AG145" i="6"/>
  <c r="AH145" i="6"/>
  <c r="AI145" i="6"/>
  <c r="AJ145" i="6"/>
  <c r="AK145" i="6"/>
  <c r="AL145" i="6"/>
  <c r="AA146" i="6"/>
  <c r="AB146" i="6"/>
  <c r="AC146" i="6"/>
  <c r="AD146" i="6"/>
  <c r="AE146" i="6"/>
  <c r="AF146" i="6"/>
  <c r="AG146" i="6"/>
  <c r="AH146" i="6"/>
  <c r="AI146" i="6"/>
  <c r="AJ146" i="6"/>
  <c r="AK146" i="6"/>
  <c r="AL146" i="6"/>
  <c r="AA147" i="6"/>
  <c r="AB147" i="6"/>
  <c r="AC147" i="6"/>
  <c r="AD147" i="6"/>
  <c r="AE147" i="6"/>
  <c r="AF147" i="6"/>
  <c r="AG147" i="6"/>
  <c r="AH147" i="6"/>
  <c r="AI147" i="6"/>
  <c r="AJ147" i="6"/>
  <c r="AK147" i="6"/>
  <c r="AL147" i="6"/>
  <c r="AA148" i="6"/>
  <c r="AB148" i="6"/>
  <c r="AC148" i="6"/>
  <c r="AD148" i="6"/>
  <c r="AE148" i="6"/>
  <c r="AF148" i="6"/>
  <c r="AG148" i="6"/>
  <c r="AH148" i="6"/>
  <c r="AI148" i="6"/>
  <c r="AJ148" i="6"/>
  <c r="AK148" i="6"/>
  <c r="AL148" i="6"/>
  <c r="AA149" i="6"/>
  <c r="AB149" i="6"/>
  <c r="AC149" i="6"/>
  <c r="AD149" i="6"/>
  <c r="AE149" i="6"/>
  <c r="AF149" i="6"/>
  <c r="AG149" i="6"/>
  <c r="AH149" i="6"/>
  <c r="AI149" i="6"/>
  <c r="AJ149" i="6"/>
  <c r="AK149" i="6"/>
  <c r="AL149" i="6"/>
  <c r="AA150" i="6"/>
  <c r="AB150" i="6"/>
  <c r="AC150" i="6"/>
  <c r="AD150" i="6"/>
  <c r="AE150" i="6"/>
  <c r="AF150" i="6"/>
  <c r="AG150" i="6"/>
  <c r="AH150" i="6"/>
  <c r="AI150" i="6"/>
  <c r="AJ150" i="6"/>
  <c r="AK150" i="6"/>
  <c r="AL150" i="6"/>
  <c r="AI5" i="6"/>
  <c r="AJ5" i="6"/>
  <c r="AK5" i="6"/>
  <c r="AL5" i="6"/>
  <c r="AA5" i="6"/>
  <c r="D4" i="16"/>
  <c r="AF11" i="6" s="1"/>
  <c r="D5" i="16"/>
  <c r="AI8" i="6" s="1"/>
  <c r="D6" i="16"/>
  <c r="AF36" i="6" s="1"/>
  <c r="D7" i="16"/>
  <c r="AL53" i="6" s="1"/>
  <c r="D8" i="16"/>
  <c r="AF39" i="6" s="1"/>
  <c r="D9" i="16"/>
  <c r="AI21" i="6" s="1"/>
  <c r="D10" i="16"/>
  <c r="AK15" i="6" s="1"/>
  <c r="D11" i="16"/>
  <c r="AL12" i="6" s="1"/>
  <c r="D12" i="16"/>
  <c r="D13" i="16"/>
  <c r="D14" i="16"/>
  <c r="AK34" i="6" s="1"/>
  <c r="D15" i="16"/>
  <c r="D16" i="16"/>
  <c r="AF29" i="6" s="1"/>
  <c r="B35" i="6"/>
  <c r="B37" i="6"/>
  <c r="B36" i="6"/>
  <c r="B34" i="6"/>
  <c r="J65" i="11"/>
  <c r="J64" i="11"/>
  <c r="J63" i="11"/>
  <c r="J62" i="11"/>
  <c r="J61" i="11"/>
  <c r="J60" i="11"/>
  <c r="J59" i="11"/>
  <c r="J58" i="11"/>
  <c r="J57" i="11"/>
  <c r="J56" i="11"/>
  <c r="J55" i="11"/>
  <c r="J54" i="11"/>
  <c r="B86" i="6"/>
  <c r="B85" i="6"/>
  <c r="B87" i="6"/>
  <c r="B80" i="6"/>
  <c r="E62" i="11"/>
  <c r="B57" i="11"/>
  <c r="E57" i="11" s="1"/>
  <c r="J45" i="11"/>
  <c r="K45" i="11" s="1"/>
  <c r="J46" i="11"/>
  <c r="K46" i="11" s="1"/>
  <c r="J47" i="11"/>
  <c r="K47" i="11" s="1"/>
  <c r="J48" i="11"/>
  <c r="K48" i="11" s="1"/>
  <c r="J49" i="11"/>
  <c r="K49" i="11" s="1"/>
  <c r="J50" i="11"/>
  <c r="K50" i="11" s="1"/>
  <c r="J51" i="11"/>
  <c r="K51" i="11" s="1"/>
  <c r="J52" i="11"/>
  <c r="K52" i="11" s="1"/>
  <c r="J53" i="11"/>
  <c r="K53" i="11" s="1"/>
  <c r="I3" i="11"/>
  <c r="E40" i="11"/>
  <c r="D22" i="13"/>
  <c r="E22" i="13"/>
  <c r="F22" i="13"/>
  <c r="G22" i="13"/>
  <c r="H22" i="13"/>
  <c r="J22" i="13"/>
  <c r="J8" i="13"/>
  <c r="H27" i="13"/>
  <c r="D27" i="13"/>
  <c r="D26" i="13"/>
  <c r="D25" i="13"/>
  <c r="D24" i="13"/>
  <c r="D23" i="13"/>
  <c r="D28" i="13" s="1"/>
  <c r="D21" i="13"/>
  <c r="D20" i="13"/>
  <c r="D19" i="13"/>
  <c r="H26" i="13"/>
  <c r="H25" i="13"/>
  <c r="H24" i="13"/>
  <c r="H23" i="13"/>
  <c r="H21" i="13"/>
  <c r="H20" i="13"/>
  <c r="H19" i="13"/>
  <c r="G27" i="13"/>
  <c r="G26" i="13"/>
  <c r="G25" i="13"/>
  <c r="G24" i="13"/>
  <c r="G23" i="13"/>
  <c r="G21" i="13"/>
  <c r="G20" i="13"/>
  <c r="G19" i="13"/>
  <c r="G28" i="13"/>
  <c r="H28" i="13"/>
  <c r="J6" i="13"/>
  <c r="J7" i="13"/>
  <c r="J9" i="13"/>
  <c r="J14" i="13" s="1"/>
  <c r="J10" i="13"/>
  <c r="J11" i="13"/>
  <c r="J12" i="13"/>
  <c r="J13" i="13"/>
  <c r="J5" i="13"/>
  <c r="E14" i="13"/>
  <c r="F14" i="13"/>
  <c r="G14" i="13"/>
  <c r="H14" i="13"/>
  <c r="I14" i="13"/>
  <c r="D14" i="13"/>
  <c r="F27" i="13"/>
  <c r="F26" i="13"/>
  <c r="F25" i="13"/>
  <c r="F24" i="13"/>
  <c r="F23" i="13"/>
  <c r="F21" i="13"/>
  <c r="F20" i="13"/>
  <c r="F19" i="13"/>
  <c r="E27" i="13"/>
  <c r="E26" i="13"/>
  <c r="J26" i="13" s="1"/>
  <c r="E25" i="13"/>
  <c r="J25" i="13" s="1"/>
  <c r="E24" i="13"/>
  <c r="J24" i="13" s="1"/>
  <c r="E23" i="13"/>
  <c r="E21" i="13"/>
  <c r="J21" i="13" s="1"/>
  <c r="E20" i="13"/>
  <c r="J20" i="13" s="1"/>
  <c r="E19" i="13"/>
  <c r="J19" i="13" s="1"/>
  <c r="J59" i="6"/>
  <c r="B74" i="5"/>
  <c r="B73" i="5"/>
  <c r="B72" i="5"/>
  <c r="B71" i="5"/>
  <c r="J44" i="11"/>
  <c r="K44" i="11" s="1"/>
  <c r="J43" i="11"/>
  <c r="K43" i="11" s="1"/>
  <c r="J42" i="11"/>
  <c r="K42" i="11" s="1"/>
  <c r="J41" i="11"/>
  <c r="K41" i="11" s="1"/>
  <c r="E48" i="11"/>
  <c r="J40" i="11"/>
  <c r="K40" i="11" s="1"/>
  <c r="J39" i="11"/>
  <c r="K39" i="11" s="1"/>
  <c r="J38" i="11"/>
  <c r="K38" i="11" s="1"/>
  <c r="K37" i="11"/>
  <c r="J36" i="11"/>
  <c r="K36" i="11" s="1"/>
  <c r="J35" i="11"/>
  <c r="K35" i="11" s="1"/>
  <c r="E35" i="11"/>
  <c r="B53" i="5"/>
  <c r="E22" i="9"/>
  <c r="F22" i="9" s="1"/>
  <c r="G22" i="9" s="1"/>
  <c r="H22" i="9" s="1"/>
  <c r="I22" i="9" s="1"/>
  <c r="J22" i="9" s="1"/>
  <c r="K22" i="9" s="1"/>
  <c r="L22" i="9" s="1"/>
  <c r="M22" i="9" s="1"/>
  <c r="N22" i="9" s="1"/>
  <c r="O22" i="9" s="1"/>
  <c r="P22" i="9" s="1"/>
  <c r="D22" i="9"/>
  <c r="P21" i="9"/>
  <c r="J34" i="11"/>
  <c r="K34" i="11" s="1"/>
  <c r="E33" i="9"/>
  <c r="F33" i="9"/>
  <c r="G33" i="9"/>
  <c r="H33" i="9"/>
  <c r="I33" i="9"/>
  <c r="J33" i="9"/>
  <c r="K33" i="9"/>
  <c r="L33" i="9"/>
  <c r="M33" i="9"/>
  <c r="N33" i="9"/>
  <c r="O33" i="9"/>
  <c r="E34" i="9"/>
  <c r="F34" i="9"/>
  <c r="G34" i="9"/>
  <c r="H34" i="9"/>
  <c r="I34" i="9"/>
  <c r="J34" i="9"/>
  <c r="K34" i="9"/>
  <c r="L34" i="9"/>
  <c r="M34" i="9"/>
  <c r="N34" i="9"/>
  <c r="O34" i="9"/>
  <c r="E35" i="9"/>
  <c r="F35" i="9"/>
  <c r="G35" i="9"/>
  <c r="H35" i="9"/>
  <c r="I35" i="9"/>
  <c r="J35" i="9"/>
  <c r="K35" i="9"/>
  <c r="L35" i="9"/>
  <c r="M35" i="9"/>
  <c r="N35" i="9"/>
  <c r="O35" i="9"/>
  <c r="E36" i="9"/>
  <c r="F36" i="9"/>
  <c r="G36" i="9"/>
  <c r="H36" i="9"/>
  <c r="I36" i="9"/>
  <c r="J36" i="9"/>
  <c r="K36" i="9"/>
  <c r="L36" i="9"/>
  <c r="M36" i="9"/>
  <c r="N36" i="9"/>
  <c r="O36" i="9"/>
  <c r="E37" i="9"/>
  <c r="F37" i="9"/>
  <c r="G37" i="9"/>
  <c r="H37" i="9"/>
  <c r="I37" i="9"/>
  <c r="J37" i="9"/>
  <c r="K37" i="9"/>
  <c r="L37" i="9"/>
  <c r="M37" i="9"/>
  <c r="N37" i="9"/>
  <c r="O37" i="9"/>
  <c r="D37" i="9"/>
  <c r="D36" i="9"/>
  <c r="D35" i="9"/>
  <c r="D34" i="9"/>
  <c r="D33" i="9"/>
  <c r="E36" i="11"/>
  <c r="E37" i="11"/>
  <c r="E38" i="11"/>
  <c r="E39" i="11"/>
  <c r="E41" i="11"/>
  <c r="E42" i="11"/>
  <c r="E43" i="11"/>
  <c r="E44" i="11"/>
  <c r="E45" i="11"/>
  <c r="E46" i="11"/>
  <c r="E47" i="11"/>
  <c r="E49" i="11"/>
  <c r="E50" i="11"/>
  <c r="E51" i="11"/>
  <c r="E52" i="11"/>
  <c r="E53" i="11"/>
  <c r="E54" i="11"/>
  <c r="E55" i="11"/>
  <c r="E56" i="11"/>
  <c r="E58" i="11"/>
  <c r="E59" i="11"/>
  <c r="E60" i="11"/>
  <c r="E61"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B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O32" i="7"/>
  <c r="N32" i="7"/>
  <c r="M32" i="7"/>
  <c r="L32" i="7"/>
  <c r="K32" i="7"/>
  <c r="J32" i="7"/>
  <c r="I32" i="7"/>
  <c r="H32" i="7"/>
  <c r="G32" i="7"/>
  <c r="F32" i="7"/>
  <c r="E32" i="7"/>
  <c r="D32" i="7"/>
  <c r="B24" i="6"/>
  <c r="B60" i="5"/>
  <c r="B61" i="5"/>
  <c r="B62" i="5"/>
  <c r="B63" i="5"/>
  <c r="B64" i="5"/>
  <c r="B65" i="5"/>
  <c r="B66" i="5"/>
  <c r="B67" i="5"/>
  <c r="B68" i="5"/>
  <c r="B69" i="5"/>
  <c r="B70" i="5"/>
  <c r="B75" i="5"/>
  <c r="B76" i="5"/>
  <c r="B50" i="5"/>
  <c r="B51" i="5"/>
  <c r="B52" i="5"/>
  <c r="B54" i="5"/>
  <c r="B55" i="5"/>
  <c r="B56" i="5"/>
  <c r="B17" i="6"/>
  <c r="M17" i="11"/>
  <c r="J17" i="11"/>
  <c r="K17" i="11" s="1"/>
  <c r="B17" i="11"/>
  <c r="E17" i="11" s="1"/>
  <c r="AM85" i="6" l="1"/>
  <c r="AA13" i="6"/>
  <c r="AA20" i="6"/>
  <c r="AA22" i="6"/>
  <c r="AA24" i="6"/>
  <c r="AA35" i="6"/>
  <c r="AB13" i="6"/>
  <c r="AB20" i="6"/>
  <c r="AB22" i="6"/>
  <c r="AB24" i="6"/>
  <c r="AB35" i="6"/>
  <c r="AC13" i="6"/>
  <c r="AC20" i="6"/>
  <c r="AC22" i="6"/>
  <c r="AC24" i="6"/>
  <c r="AC35" i="6"/>
  <c r="AD13" i="6"/>
  <c r="AD20" i="6"/>
  <c r="AD22" i="6"/>
  <c r="AD24" i="6"/>
  <c r="AD35" i="6"/>
  <c r="AE13" i="6"/>
  <c r="AE20" i="6"/>
  <c r="AE22" i="6"/>
  <c r="AE24" i="6"/>
  <c r="AE35" i="6"/>
  <c r="AE75" i="6"/>
  <c r="AE79" i="6"/>
  <c r="AE83" i="6"/>
  <c r="AG13" i="6"/>
  <c r="AG20" i="6"/>
  <c r="AG22" i="6"/>
  <c r="AG24" i="6"/>
  <c r="AG35" i="6"/>
  <c r="AG75" i="6"/>
  <c r="AG79" i="6"/>
  <c r="AH13" i="6"/>
  <c r="AH20" i="6"/>
  <c r="AH22" i="6"/>
  <c r="AH24" i="6"/>
  <c r="AH35" i="6"/>
  <c r="AJ13" i="6"/>
  <c r="AJ20" i="6"/>
  <c r="AJ22" i="6"/>
  <c r="AJ24" i="6"/>
  <c r="AJ35" i="6"/>
  <c r="AL93" i="6"/>
  <c r="AG87" i="6"/>
  <c r="AD84" i="6"/>
  <c r="AC83" i="6"/>
  <c r="AK79" i="6"/>
  <c r="AI78" i="6"/>
  <c r="AA75" i="6"/>
  <c r="AI63" i="6"/>
  <c r="AI60" i="6"/>
  <c r="AJ57" i="6"/>
  <c r="AL33" i="6"/>
  <c r="AL30" i="6"/>
  <c r="AL24" i="6"/>
  <c r="AL15" i="6"/>
  <c r="AA12" i="6"/>
  <c r="AA30" i="6"/>
  <c r="AA33" i="6"/>
  <c r="AA43" i="6"/>
  <c r="AA55" i="6"/>
  <c r="AA60" i="6"/>
  <c r="AA61" i="6"/>
  <c r="AA63" i="6"/>
  <c r="AB12" i="6"/>
  <c r="AB30" i="6"/>
  <c r="AB33" i="6"/>
  <c r="AB43" i="6"/>
  <c r="AB55" i="6"/>
  <c r="AC12" i="6"/>
  <c r="AC30" i="6"/>
  <c r="AC33" i="6"/>
  <c r="AC43" i="6"/>
  <c r="AC55" i="6"/>
  <c r="AC60" i="6"/>
  <c r="AC61" i="6"/>
  <c r="AC63" i="6"/>
  <c r="AD12" i="6"/>
  <c r="AD30" i="6"/>
  <c r="AD33" i="6"/>
  <c r="AD43" i="6"/>
  <c r="AD55" i="6"/>
  <c r="AE12" i="6"/>
  <c r="AE30" i="6"/>
  <c r="AE33" i="6"/>
  <c r="AE43" i="6"/>
  <c r="AE55" i="6"/>
  <c r="AE60" i="6"/>
  <c r="AE61" i="6"/>
  <c r="AE63" i="6"/>
  <c r="AE78" i="6"/>
  <c r="AE84" i="6"/>
  <c r="AE87" i="6"/>
  <c r="AG12" i="6"/>
  <c r="AG30" i="6"/>
  <c r="AG33" i="6"/>
  <c r="AG43" i="6"/>
  <c r="AG55" i="6"/>
  <c r="AG60" i="6"/>
  <c r="AG61" i="6"/>
  <c r="AG63" i="6"/>
  <c r="AG78" i="6"/>
  <c r="AH12" i="6"/>
  <c r="AH30" i="6"/>
  <c r="AH33" i="6"/>
  <c r="AH43" i="6"/>
  <c r="AH55" i="6"/>
  <c r="AJ12" i="6"/>
  <c r="AJ30" i="6"/>
  <c r="AJ33" i="6"/>
  <c r="AJ43" i="6"/>
  <c r="AJ55" i="6"/>
  <c r="AK93" i="6"/>
  <c r="AF87" i="6"/>
  <c r="AC84" i="6"/>
  <c r="AB83" i="6"/>
  <c r="AJ79" i="6"/>
  <c r="AH78" i="6"/>
  <c r="AL64" i="6"/>
  <c r="AH63" i="6"/>
  <c r="AL61" i="6"/>
  <c r="AH60" i="6"/>
  <c r="AI57" i="6"/>
  <c r="AK33" i="6"/>
  <c r="AK30" i="6"/>
  <c r="AK24" i="6"/>
  <c r="AK12" i="6"/>
  <c r="AA15" i="6"/>
  <c r="AA17" i="6"/>
  <c r="AA26" i="6"/>
  <c r="AA37" i="6"/>
  <c r="AA49" i="6"/>
  <c r="AA56" i="6"/>
  <c r="AA57" i="6"/>
  <c r="AA64" i="6"/>
  <c r="AB15" i="6"/>
  <c r="AB17" i="6"/>
  <c r="AB26" i="6"/>
  <c r="AB37" i="6"/>
  <c r="AB49" i="6"/>
  <c r="AB56" i="6"/>
  <c r="AB57" i="6"/>
  <c r="AC15" i="6"/>
  <c r="AC17" i="6"/>
  <c r="AC26" i="6"/>
  <c r="AC37" i="6"/>
  <c r="AC49" i="6"/>
  <c r="AC56" i="6"/>
  <c r="AC57" i="6"/>
  <c r="AC64" i="6"/>
  <c r="AD15" i="6"/>
  <c r="AD17" i="6"/>
  <c r="AD26" i="6"/>
  <c r="AD37" i="6"/>
  <c r="AD49" i="6"/>
  <c r="AD56" i="6"/>
  <c r="AD57" i="6"/>
  <c r="AE15" i="6"/>
  <c r="AE17" i="6"/>
  <c r="AE26" i="6"/>
  <c r="AE37" i="6"/>
  <c r="AE49" i="6"/>
  <c r="AE56" i="6"/>
  <c r="AE57" i="6"/>
  <c r="AE64" i="6"/>
  <c r="AG15" i="6"/>
  <c r="AG17" i="6"/>
  <c r="AG26" i="6"/>
  <c r="AG37" i="6"/>
  <c r="AG49" i="6"/>
  <c r="AG56" i="6"/>
  <c r="AG57" i="6"/>
  <c r="AG64" i="6"/>
  <c r="AH15" i="6"/>
  <c r="AH17" i="6"/>
  <c r="AH26" i="6"/>
  <c r="AH37" i="6"/>
  <c r="AH49" i="6"/>
  <c r="AH56" i="6"/>
  <c r="AH57" i="6"/>
  <c r="AJ15" i="6"/>
  <c r="AJ17" i="6"/>
  <c r="AJ26" i="6"/>
  <c r="AJ37" i="6"/>
  <c r="AJ49" i="6"/>
  <c r="AJ93" i="6"/>
  <c r="AD87" i="6"/>
  <c r="AB84" i="6"/>
  <c r="AA83" i="6"/>
  <c r="AI79" i="6"/>
  <c r="AF78" i="6"/>
  <c r="AK64" i="6"/>
  <c r="AF63" i="6"/>
  <c r="AK61" i="6"/>
  <c r="AF60" i="6"/>
  <c r="AF57" i="6"/>
  <c r="AI48" i="6"/>
  <c r="AI39" i="6"/>
  <c r="AI33" i="6"/>
  <c r="AI30" i="6"/>
  <c r="AI24" i="6"/>
  <c r="AI15" i="6"/>
  <c r="AI12" i="6"/>
  <c r="AI9" i="6"/>
  <c r="AA14" i="6"/>
  <c r="AA19" i="6"/>
  <c r="AA21" i="6"/>
  <c r="AA23" i="6"/>
  <c r="AA25" i="6"/>
  <c r="AA48" i="6"/>
  <c r="AB14" i="6"/>
  <c r="AB19" i="6"/>
  <c r="AB21" i="6"/>
  <c r="AB23" i="6"/>
  <c r="AB25" i="6"/>
  <c r="AB48" i="6"/>
  <c r="AC14" i="6"/>
  <c r="AC19" i="6"/>
  <c r="AC21" i="6"/>
  <c r="AC23" i="6"/>
  <c r="AC25" i="6"/>
  <c r="AC48" i="6"/>
  <c r="AD14" i="6"/>
  <c r="AD19" i="6"/>
  <c r="AD21" i="6"/>
  <c r="AD23" i="6"/>
  <c r="AD25" i="6"/>
  <c r="AD48" i="6"/>
  <c r="AE14" i="6"/>
  <c r="AE19" i="6"/>
  <c r="AE21" i="6"/>
  <c r="AE23" i="6"/>
  <c r="AE25" i="6"/>
  <c r="AE48" i="6"/>
  <c r="AE76" i="6"/>
  <c r="AE82" i="6"/>
  <c r="AE90" i="6"/>
  <c r="AE92" i="6"/>
  <c r="AG14" i="6"/>
  <c r="AG19" i="6"/>
  <c r="AG21" i="6"/>
  <c r="AG23" i="6"/>
  <c r="AG25" i="6"/>
  <c r="AG48" i="6"/>
  <c r="AG76" i="6"/>
  <c r="AH14" i="6"/>
  <c r="AH19" i="6"/>
  <c r="AH21" i="6"/>
  <c r="AH23" i="6"/>
  <c r="AH25" i="6"/>
  <c r="AH48" i="6"/>
  <c r="AJ14" i="6"/>
  <c r="AJ19" i="6"/>
  <c r="AJ21" i="6"/>
  <c r="AJ23" i="6"/>
  <c r="AJ25" i="6"/>
  <c r="AJ48" i="6"/>
  <c r="AI93" i="6"/>
  <c r="AI92" i="6"/>
  <c r="AG90" i="6"/>
  <c r="AF89" i="6"/>
  <c r="AD88" i="6"/>
  <c r="AC87" i="6"/>
  <c r="AB86" i="6"/>
  <c r="AA84" i="6"/>
  <c r="AL82" i="6"/>
  <c r="AJ80" i="6"/>
  <c r="AH79" i="6"/>
  <c r="AD78" i="6"/>
  <c r="AL75" i="6"/>
  <c r="AJ74" i="6"/>
  <c r="AH73" i="6"/>
  <c r="AD72" i="6"/>
  <c r="AJ70" i="6"/>
  <c r="AD69" i="6"/>
  <c r="AJ67" i="6"/>
  <c r="AD66" i="6"/>
  <c r="AJ64" i="6"/>
  <c r="AD63" i="6"/>
  <c r="AJ61" i="6"/>
  <c r="AD60" i="6"/>
  <c r="AL56" i="6"/>
  <c r="AF48" i="6"/>
  <c r="AF33" i="6"/>
  <c r="AF30" i="6"/>
  <c r="AF24" i="6"/>
  <c r="AF21" i="6"/>
  <c r="AF15" i="6"/>
  <c r="AF12" i="6"/>
  <c r="AF9" i="6"/>
  <c r="AA28" i="6"/>
  <c r="AA31" i="6"/>
  <c r="AA38" i="6"/>
  <c r="AA39" i="6"/>
  <c r="AB28" i="6"/>
  <c r="AB31" i="6"/>
  <c r="AB38" i="6"/>
  <c r="AB39" i="6"/>
  <c r="AC28" i="6"/>
  <c r="AC31" i="6"/>
  <c r="AC38" i="6"/>
  <c r="AC39" i="6"/>
  <c r="AD28" i="6"/>
  <c r="AD31" i="6"/>
  <c r="AD38" i="6"/>
  <c r="AD39" i="6"/>
  <c r="AE28" i="6"/>
  <c r="AE31" i="6"/>
  <c r="AE38" i="6"/>
  <c r="AE39" i="6"/>
  <c r="AE73" i="6"/>
  <c r="AE74" i="6"/>
  <c r="AE89" i="6"/>
  <c r="AG28" i="6"/>
  <c r="AG31" i="6"/>
  <c r="AG38" i="6"/>
  <c r="AG39" i="6"/>
  <c r="AG73" i="6"/>
  <c r="AG74" i="6"/>
  <c r="AH28" i="6"/>
  <c r="AH31" i="6"/>
  <c r="AH38" i="6"/>
  <c r="AH39" i="6"/>
  <c r="AJ28" i="6"/>
  <c r="AJ31" i="6"/>
  <c r="AJ38" i="6"/>
  <c r="AJ39" i="6"/>
  <c r="AH93" i="6"/>
  <c r="AH92" i="6"/>
  <c r="AF90" i="6"/>
  <c r="AD89" i="6"/>
  <c r="AC88" i="6"/>
  <c r="AB87" i="6"/>
  <c r="AA86" i="6"/>
  <c r="AL83" i="6"/>
  <c r="AK82" i="6"/>
  <c r="AI80" i="6"/>
  <c r="AF79" i="6"/>
  <c r="AC78" i="6"/>
  <c r="AK75" i="6"/>
  <c r="AI74" i="6"/>
  <c r="AF73" i="6"/>
  <c r="AB72" i="6"/>
  <c r="AI70" i="6"/>
  <c r="AB69" i="6"/>
  <c r="AI67" i="6"/>
  <c r="AB66" i="6"/>
  <c r="AI64" i="6"/>
  <c r="AB63" i="6"/>
  <c r="AI61" i="6"/>
  <c r="AB60" i="6"/>
  <c r="AK56" i="6"/>
  <c r="AL38" i="6"/>
  <c r="AL35" i="6"/>
  <c r="AL26" i="6"/>
  <c r="AL23" i="6"/>
  <c r="AL20" i="6"/>
  <c r="AL17" i="6"/>
  <c r="AL14" i="6"/>
  <c r="AA7" i="6"/>
  <c r="AA9" i="6"/>
  <c r="AA10" i="6"/>
  <c r="AA52" i="6"/>
  <c r="AA53" i="6"/>
  <c r="AA66" i="6"/>
  <c r="AA67" i="6"/>
  <c r="AA69" i="6"/>
  <c r="AA70" i="6"/>
  <c r="AA72" i="6"/>
  <c r="AB7" i="6"/>
  <c r="AB9" i="6"/>
  <c r="AB10" i="6"/>
  <c r="AB52" i="6"/>
  <c r="AB53" i="6"/>
  <c r="AC7" i="6"/>
  <c r="AC9" i="6"/>
  <c r="AC10" i="6"/>
  <c r="AC52" i="6"/>
  <c r="AC53" i="6"/>
  <c r="AC66" i="6"/>
  <c r="AC67" i="6"/>
  <c r="AC69" i="6"/>
  <c r="AC70" i="6"/>
  <c r="AC72" i="6"/>
  <c r="AD7" i="6"/>
  <c r="AD9" i="6"/>
  <c r="AD10" i="6"/>
  <c r="AD52" i="6"/>
  <c r="AD53" i="6"/>
  <c r="AE7" i="6"/>
  <c r="AE9" i="6"/>
  <c r="AE10" i="6"/>
  <c r="AE52" i="6"/>
  <c r="AE53" i="6"/>
  <c r="AE66" i="6"/>
  <c r="AE67" i="6"/>
  <c r="AE69" i="6"/>
  <c r="AE70" i="6"/>
  <c r="AE72" i="6"/>
  <c r="AE88" i="6"/>
  <c r="AG7" i="6"/>
  <c r="AG9" i="6"/>
  <c r="AG10" i="6"/>
  <c r="AG52" i="6"/>
  <c r="AG53" i="6"/>
  <c r="AG66" i="6"/>
  <c r="AG67" i="6"/>
  <c r="AG69" i="6"/>
  <c r="AG70" i="6"/>
  <c r="AG72" i="6"/>
  <c r="AH7" i="6"/>
  <c r="AH9" i="6"/>
  <c r="AH10" i="6"/>
  <c r="AH52" i="6"/>
  <c r="AH53" i="6"/>
  <c r="AJ7" i="6"/>
  <c r="AJ9" i="6"/>
  <c r="AJ10" i="6"/>
  <c r="AJ52" i="6"/>
  <c r="AJ53" i="6"/>
  <c r="AH5" i="6"/>
  <c r="AG93" i="6"/>
  <c r="AG92" i="6"/>
  <c r="AD90" i="6"/>
  <c r="AC89" i="6"/>
  <c r="AB88" i="6"/>
  <c r="AA87" i="6"/>
  <c r="AL84" i="6"/>
  <c r="AK83" i="6"/>
  <c r="AJ82" i="6"/>
  <c r="AH80" i="6"/>
  <c r="AD79" i="6"/>
  <c r="AB78" i="6"/>
  <c r="AL76" i="6"/>
  <c r="AJ75" i="6"/>
  <c r="AH74" i="6"/>
  <c r="AD73" i="6"/>
  <c r="AH70" i="6"/>
  <c r="AH67" i="6"/>
  <c r="AH64" i="6"/>
  <c r="AL62" i="6"/>
  <c r="AH61" i="6"/>
  <c r="AJ56" i="6"/>
  <c r="AK53" i="6"/>
  <c r="AK38" i="6"/>
  <c r="AK35" i="6"/>
  <c r="AK26" i="6"/>
  <c r="AK23" i="6"/>
  <c r="AK20" i="6"/>
  <c r="AK17" i="6"/>
  <c r="AK14" i="6"/>
  <c r="AA36" i="6"/>
  <c r="AB36" i="6"/>
  <c r="AC36" i="6"/>
  <c r="AD36" i="6"/>
  <c r="AE36" i="6"/>
  <c r="AG36" i="6"/>
  <c r="AH36" i="6"/>
  <c r="AJ36" i="6"/>
  <c r="AG5" i="6"/>
  <c r="AF93" i="6"/>
  <c r="AF92" i="6"/>
  <c r="AC90" i="6"/>
  <c r="AB89" i="6"/>
  <c r="AA88" i="6"/>
  <c r="AL86" i="6"/>
  <c r="AK84" i="6"/>
  <c r="AJ83" i="6"/>
  <c r="AI82" i="6"/>
  <c r="AF80" i="6"/>
  <c r="AC79" i="6"/>
  <c r="AA78" i="6"/>
  <c r="AK76" i="6"/>
  <c r="AI75" i="6"/>
  <c r="AF74" i="6"/>
  <c r="AC73" i="6"/>
  <c r="AK71" i="6"/>
  <c r="AF70" i="6"/>
  <c r="AK68" i="6"/>
  <c r="AF67" i="6"/>
  <c r="AK65" i="6"/>
  <c r="AF64" i="6"/>
  <c r="AK62" i="6"/>
  <c r="AF61" i="6"/>
  <c r="AK58" i="6"/>
  <c r="AI56" i="6"/>
  <c r="AI53" i="6"/>
  <c r="AI50" i="6"/>
  <c r="AI47" i="6"/>
  <c r="AI44" i="6"/>
  <c r="AI41" i="6"/>
  <c r="AI38" i="6"/>
  <c r="AI35" i="6"/>
  <c r="AI32" i="6"/>
  <c r="AI29" i="6"/>
  <c r="AI26" i="6"/>
  <c r="AI23" i="6"/>
  <c r="AI20" i="6"/>
  <c r="AI17" i="6"/>
  <c r="AI14" i="6"/>
  <c r="AI11" i="6"/>
  <c r="AA8" i="6"/>
  <c r="AA27" i="6"/>
  <c r="AA45" i="6"/>
  <c r="AA47" i="6"/>
  <c r="AA51" i="6"/>
  <c r="AA54" i="6"/>
  <c r="AA58" i="6"/>
  <c r="AA65" i="6"/>
  <c r="AA68" i="6"/>
  <c r="AA71" i="6"/>
  <c r="AB8" i="6"/>
  <c r="AB27" i="6"/>
  <c r="AB45" i="6"/>
  <c r="AB47" i="6"/>
  <c r="AB51" i="6"/>
  <c r="AB54" i="6"/>
  <c r="AB58" i="6"/>
  <c r="AC8" i="6"/>
  <c r="AC27" i="6"/>
  <c r="AC45" i="6"/>
  <c r="AC47" i="6"/>
  <c r="AC51" i="6"/>
  <c r="AC54" i="6"/>
  <c r="AC58" i="6"/>
  <c r="AC65" i="6"/>
  <c r="AC68" i="6"/>
  <c r="AC71" i="6"/>
  <c r="AD8" i="6"/>
  <c r="AD27" i="6"/>
  <c r="AD45" i="6"/>
  <c r="AD47" i="6"/>
  <c r="AD51" i="6"/>
  <c r="AD54" i="6"/>
  <c r="AD58" i="6"/>
  <c r="AE8" i="6"/>
  <c r="AE27" i="6"/>
  <c r="AE45" i="6"/>
  <c r="AE47" i="6"/>
  <c r="AE51" i="6"/>
  <c r="AE54" i="6"/>
  <c r="AE58" i="6"/>
  <c r="AE65" i="6"/>
  <c r="AE68" i="6"/>
  <c r="AE71" i="6"/>
  <c r="AG8" i="6"/>
  <c r="AG27" i="6"/>
  <c r="AG45" i="6"/>
  <c r="AG47" i="6"/>
  <c r="AG51" i="6"/>
  <c r="AG54" i="6"/>
  <c r="AG58" i="6"/>
  <c r="AG65" i="6"/>
  <c r="AG68" i="6"/>
  <c r="AG71" i="6"/>
  <c r="AH8" i="6"/>
  <c r="AH27" i="6"/>
  <c r="AH45" i="6"/>
  <c r="AH47" i="6"/>
  <c r="AH51" i="6"/>
  <c r="AH54" i="6"/>
  <c r="AH58" i="6"/>
  <c r="AJ8" i="6"/>
  <c r="AJ27" i="6"/>
  <c r="AJ45" i="6"/>
  <c r="AJ47" i="6"/>
  <c r="AJ51" i="6"/>
  <c r="AJ54" i="6"/>
  <c r="AF5" i="6"/>
  <c r="AE93" i="6"/>
  <c r="AD92" i="6"/>
  <c r="AC91" i="6"/>
  <c r="AB90" i="6"/>
  <c r="AA89" i="6"/>
  <c r="AL87" i="6"/>
  <c r="AK86" i="6"/>
  <c r="AJ84" i="6"/>
  <c r="AI83" i="6"/>
  <c r="AH82" i="6"/>
  <c r="AG81" i="6"/>
  <c r="AD80" i="6"/>
  <c r="AB79" i="6"/>
  <c r="AL77" i="6"/>
  <c r="AJ76" i="6"/>
  <c r="AH75" i="6"/>
  <c r="AD74" i="6"/>
  <c r="AB73" i="6"/>
  <c r="AJ71" i="6"/>
  <c r="AD70" i="6"/>
  <c r="AJ68" i="6"/>
  <c r="AD67" i="6"/>
  <c r="AJ65" i="6"/>
  <c r="AD64" i="6"/>
  <c r="AJ62" i="6"/>
  <c r="AD61" i="6"/>
  <c r="AJ58" i="6"/>
  <c r="AF56" i="6"/>
  <c r="AF53" i="6"/>
  <c r="AF50" i="6"/>
  <c r="AF47" i="6"/>
  <c r="AF44" i="6"/>
  <c r="AF41" i="6"/>
  <c r="AF38" i="6"/>
  <c r="AF35" i="6"/>
  <c r="AF32" i="6"/>
  <c r="AF26" i="6"/>
  <c r="AF23" i="6"/>
  <c r="AF20" i="6"/>
  <c r="AF17" i="6"/>
  <c r="AF14" i="6"/>
  <c r="AF8" i="6"/>
  <c r="AA29" i="6"/>
  <c r="AA32" i="6"/>
  <c r="AA41" i="6"/>
  <c r="AA42" i="6"/>
  <c r="AA44" i="6"/>
  <c r="AA46" i="6"/>
  <c r="AA50" i="6"/>
  <c r="AB29" i="6"/>
  <c r="AB32" i="6"/>
  <c r="AB41" i="6"/>
  <c r="AB42" i="6"/>
  <c r="AB44" i="6"/>
  <c r="AB46" i="6"/>
  <c r="AB50" i="6"/>
  <c r="AC29" i="6"/>
  <c r="AC32" i="6"/>
  <c r="AC41" i="6"/>
  <c r="AC42" i="6"/>
  <c r="AC44" i="6"/>
  <c r="AC46" i="6"/>
  <c r="AC50" i="6"/>
  <c r="AD29" i="6"/>
  <c r="AD32" i="6"/>
  <c r="AD41" i="6"/>
  <c r="AD42" i="6"/>
  <c r="AD44" i="6"/>
  <c r="AD46" i="6"/>
  <c r="AD50" i="6"/>
  <c r="AE29" i="6"/>
  <c r="AE32" i="6"/>
  <c r="AE41" i="6"/>
  <c r="AE42" i="6"/>
  <c r="AE44" i="6"/>
  <c r="AE46" i="6"/>
  <c r="AE50" i="6"/>
  <c r="AG29" i="6"/>
  <c r="AG32" i="6"/>
  <c r="AG41" i="6"/>
  <c r="AG42" i="6"/>
  <c r="AG44" i="6"/>
  <c r="AG46" i="6"/>
  <c r="AG50" i="6"/>
  <c r="AH29" i="6"/>
  <c r="AH32" i="6"/>
  <c r="AH41" i="6"/>
  <c r="AH42" i="6"/>
  <c r="AH44" i="6"/>
  <c r="AH46" i="6"/>
  <c r="AH50" i="6"/>
  <c r="AJ29" i="6"/>
  <c r="AJ32" i="6"/>
  <c r="AJ41" i="6"/>
  <c r="AJ42" i="6"/>
  <c r="AJ44" i="6"/>
  <c r="AJ46" i="6"/>
  <c r="AJ50" i="6"/>
  <c r="AA11" i="6"/>
  <c r="AA16" i="6"/>
  <c r="AA18" i="6"/>
  <c r="AA40" i="6"/>
  <c r="AB11" i="6"/>
  <c r="AB16" i="6"/>
  <c r="AB18" i="6"/>
  <c r="AB40" i="6"/>
  <c r="AC11" i="6"/>
  <c r="AC16" i="6"/>
  <c r="AC18" i="6"/>
  <c r="AC40" i="6"/>
  <c r="AD11" i="6"/>
  <c r="AD16" i="6"/>
  <c r="AD18" i="6"/>
  <c r="AD40" i="6"/>
  <c r="AE11" i="6"/>
  <c r="AE16" i="6"/>
  <c r="AE18" i="6"/>
  <c r="AE40" i="6"/>
  <c r="AE77" i="6"/>
  <c r="AE81" i="6"/>
  <c r="AE91" i="6"/>
  <c r="AG11" i="6"/>
  <c r="AG16" i="6"/>
  <c r="AG18" i="6"/>
  <c r="AG40" i="6"/>
  <c r="AG77" i="6"/>
  <c r="AH11" i="6"/>
  <c r="AH16" i="6"/>
  <c r="AH18" i="6"/>
  <c r="AH40" i="6"/>
  <c r="AJ11" i="6"/>
  <c r="AJ16" i="6"/>
  <c r="AJ18" i="6"/>
  <c r="AJ40" i="6"/>
  <c r="AE5" i="6"/>
  <c r="AD93" i="6"/>
  <c r="AC92" i="6"/>
  <c r="AB91" i="6"/>
  <c r="AA90" i="6"/>
  <c r="AL88" i="6"/>
  <c r="AK87" i="6"/>
  <c r="AJ86" i="6"/>
  <c r="AI84" i="6"/>
  <c r="AH83" i="6"/>
  <c r="AG82" i="6"/>
  <c r="AF81" i="6"/>
  <c r="AC80" i="6"/>
  <c r="AA79" i="6"/>
  <c r="AK77" i="6"/>
  <c r="AI76" i="6"/>
  <c r="AF75" i="6"/>
  <c r="AC74" i="6"/>
  <c r="AA73" i="6"/>
  <c r="AI71" i="6"/>
  <c r="AB70" i="6"/>
  <c r="AI68" i="6"/>
  <c r="AB67" i="6"/>
  <c r="AI65" i="6"/>
  <c r="AB64" i="6"/>
  <c r="AI62" i="6"/>
  <c r="AB61" i="6"/>
  <c r="AI58" i="6"/>
  <c r="AL55" i="6"/>
  <c r="AL52" i="6"/>
  <c r="AL49" i="6"/>
  <c r="AL46" i="6"/>
  <c r="AL43" i="6"/>
  <c r="AL40" i="6"/>
  <c r="AL37" i="6"/>
  <c r="AL34" i="6"/>
  <c r="AL31" i="6"/>
  <c r="AL28" i="6"/>
  <c r="AL25" i="6"/>
  <c r="AL22" i="6"/>
  <c r="AL19" i="6"/>
  <c r="AL16" i="6"/>
  <c r="AL13" i="6"/>
  <c r="AL10" i="6"/>
  <c r="AL7" i="6"/>
  <c r="AD5" i="6"/>
  <c r="AC93" i="6"/>
  <c r="AB92" i="6"/>
  <c r="AA91" i="6"/>
  <c r="AL89" i="6"/>
  <c r="AK88" i="6"/>
  <c r="AJ87" i="6"/>
  <c r="AI86" i="6"/>
  <c r="AH84" i="6"/>
  <c r="AG83" i="6"/>
  <c r="AF82" i="6"/>
  <c r="AD81" i="6"/>
  <c r="AB80" i="6"/>
  <c r="AL78" i="6"/>
  <c r="AJ77" i="6"/>
  <c r="AH76" i="6"/>
  <c r="AD75" i="6"/>
  <c r="AB74" i="6"/>
  <c r="AL72" i="6"/>
  <c r="AH71" i="6"/>
  <c r="AL69" i="6"/>
  <c r="AH68" i="6"/>
  <c r="AL66" i="6"/>
  <c r="AH65" i="6"/>
  <c r="AL63" i="6"/>
  <c r="AH62" i="6"/>
  <c r="AL60" i="6"/>
  <c r="AF58" i="6"/>
  <c r="AK55" i="6"/>
  <c r="AK52" i="6"/>
  <c r="AK49" i="6"/>
  <c r="AK46" i="6"/>
  <c r="AK43" i="6"/>
  <c r="AK40" i="6"/>
  <c r="AK37" i="6"/>
  <c r="AK31" i="6"/>
  <c r="AK28" i="6"/>
  <c r="AK25" i="6"/>
  <c r="AK22" i="6"/>
  <c r="AK19" i="6"/>
  <c r="AK16" i="6"/>
  <c r="AK13" i="6"/>
  <c r="AK10" i="6"/>
  <c r="AK7" i="6"/>
  <c r="AA6" i="6"/>
  <c r="AA34" i="6"/>
  <c r="AA62" i="6"/>
  <c r="AB6" i="6"/>
  <c r="AB34" i="6"/>
  <c r="AC6" i="6"/>
  <c r="AC34" i="6"/>
  <c r="AC62" i="6"/>
  <c r="AD6" i="6"/>
  <c r="AD34" i="6"/>
  <c r="AE6" i="6"/>
  <c r="AE34" i="6"/>
  <c r="AE62" i="6"/>
  <c r="AE80" i="6"/>
  <c r="AE86" i="6"/>
  <c r="AF6" i="6"/>
  <c r="AG6" i="6"/>
  <c r="AG34" i="6"/>
  <c r="AG62" i="6"/>
  <c r="AG80" i="6"/>
  <c r="AH6" i="6"/>
  <c r="AH34" i="6"/>
  <c r="AI6" i="6"/>
  <c r="AJ6" i="6"/>
  <c r="AJ34" i="6"/>
  <c r="AK6" i="6"/>
  <c r="AL6" i="6"/>
  <c r="AC5" i="6"/>
  <c r="AB93" i="6"/>
  <c r="AA92" i="6"/>
  <c r="AL90" i="6"/>
  <c r="AK89" i="6"/>
  <c r="AJ88" i="6"/>
  <c r="AI87" i="6"/>
  <c r="AH86" i="6"/>
  <c r="AG84" i="6"/>
  <c r="AF83" i="6"/>
  <c r="AD82" i="6"/>
  <c r="AC81" i="6"/>
  <c r="AA80" i="6"/>
  <c r="AK78" i="6"/>
  <c r="AI77" i="6"/>
  <c r="AF76" i="6"/>
  <c r="AC75" i="6"/>
  <c r="AA74" i="6"/>
  <c r="AK72" i="6"/>
  <c r="AF71" i="6"/>
  <c r="AK69" i="6"/>
  <c r="AF68" i="6"/>
  <c r="AK66" i="6"/>
  <c r="AF65" i="6"/>
  <c r="AK63" i="6"/>
  <c r="AF62" i="6"/>
  <c r="AK60" i="6"/>
  <c r="AL57" i="6"/>
  <c r="AI55" i="6"/>
  <c r="AI52" i="6"/>
  <c r="AI49" i="6"/>
  <c r="AI46" i="6"/>
  <c r="AI43" i="6"/>
  <c r="AI40" i="6"/>
  <c r="AI37" i="6"/>
  <c r="AI34" i="6"/>
  <c r="AI31" i="6"/>
  <c r="AI28" i="6"/>
  <c r="AI25" i="6"/>
  <c r="AI22" i="6"/>
  <c r="AI19" i="6"/>
  <c r="AI16" i="6"/>
  <c r="AI13" i="6"/>
  <c r="AI10" i="6"/>
  <c r="AI7" i="6"/>
  <c r="AB5" i="6"/>
  <c r="AA93" i="6"/>
  <c r="AL91" i="6"/>
  <c r="AK90" i="6"/>
  <c r="AJ89" i="6"/>
  <c r="AI88" i="6"/>
  <c r="AH87" i="6"/>
  <c r="AG86" i="6"/>
  <c r="AF84" i="6"/>
  <c r="AD83" i="6"/>
  <c r="AC82" i="6"/>
  <c r="AB81" i="6"/>
  <c r="AL79" i="6"/>
  <c r="AJ78" i="6"/>
  <c r="AH77" i="6"/>
  <c r="AD76" i="6"/>
  <c r="AB75" i="6"/>
  <c r="AL73" i="6"/>
  <c r="AJ72" i="6"/>
  <c r="AD71" i="6"/>
  <c r="AJ69" i="6"/>
  <c r="AD68" i="6"/>
  <c r="AJ66" i="6"/>
  <c r="AD65" i="6"/>
  <c r="AJ63" i="6"/>
  <c r="AD62" i="6"/>
  <c r="AJ60" i="6"/>
  <c r="AK57" i="6"/>
  <c r="AF55" i="6"/>
  <c r="AF52" i="6"/>
  <c r="AF49" i="6"/>
  <c r="AF46" i="6"/>
  <c r="AF43" i="6"/>
  <c r="AF40" i="6"/>
  <c r="AF37" i="6"/>
  <c r="AF34" i="6"/>
  <c r="AF31" i="6"/>
  <c r="AF28" i="6"/>
  <c r="AF25" i="6"/>
  <c r="AF22" i="6"/>
  <c r="AF19" i="6"/>
  <c r="AF16" i="6"/>
  <c r="AF13" i="6"/>
  <c r="AF10" i="6"/>
  <c r="AF7" i="6"/>
  <c r="J23" i="13"/>
  <c r="F28" i="13"/>
  <c r="J27" i="13"/>
  <c r="E28" i="13"/>
  <c r="J28" i="13"/>
  <c r="B18" i="6"/>
  <c r="B19" i="6"/>
  <c r="B20" i="6"/>
  <c r="B21" i="6"/>
  <c r="B22" i="6"/>
  <c r="B23" i="6"/>
  <c r="B25" i="6"/>
  <c r="B26" i="6"/>
  <c r="B27" i="6"/>
  <c r="B28" i="6"/>
  <c r="B29" i="6"/>
  <c r="B30" i="6"/>
  <c r="B31" i="6"/>
  <c r="B32" i="6"/>
  <c r="B33" i="6"/>
  <c r="B38" i="6"/>
  <c r="B39" i="6"/>
  <c r="B40" i="6"/>
  <c r="B41" i="6"/>
  <c r="B42" i="6"/>
  <c r="B43" i="6"/>
  <c r="B44" i="6"/>
  <c r="B45" i="6"/>
  <c r="B46" i="6"/>
  <c r="B47" i="6"/>
  <c r="B48" i="6"/>
  <c r="B49" i="6"/>
  <c r="B50"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1" i="6"/>
  <c r="B82" i="6"/>
  <c r="B83" i="6"/>
  <c r="B84"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J6" i="11"/>
  <c r="K6" i="11" s="1"/>
  <c r="J7" i="11"/>
  <c r="K7" i="11" s="1"/>
  <c r="J8" i="11"/>
  <c r="K8" i="11" s="1"/>
  <c r="J9" i="11"/>
  <c r="K9" i="11" s="1"/>
  <c r="J10" i="11"/>
  <c r="K10" i="11" s="1"/>
  <c r="J11" i="11"/>
  <c r="K11" i="11" s="1"/>
  <c r="J12" i="11"/>
  <c r="K12" i="11" s="1"/>
  <c r="J13" i="11"/>
  <c r="K13" i="11" s="1"/>
  <c r="J14" i="11"/>
  <c r="K14" i="11" s="1"/>
  <c r="J15" i="11"/>
  <c r="K15" i="11" s="1"/>
  <c r="J16" i="11"/>
  <c r="K16" i="11" s="1"/>
  <c r="J18" i="11"/>
  <c r="K18" i="11" s="1"/>
  <c r="J19" i="11"/>
  <c r="K19" i="11" s="1"/>
  <c r="J20" i="11"/>
  <c r="K20" i="11" s="1"/>
  <c r="J21" i="11"/>
  <c r="K21" i="11" s="1"/>
  <c r="J22" i="11"/>
  <c r="K22" i="11" s="1"/>
  <c r="J23" i="11"/>
  <c r="K23" i="11" s="1"/>
  <c r="J24" i="11"/>
  <c r="K24" i="11" s="1"/>
  <c r="J25" i="11"/>
  <c r="K25" i="11" s="1"/>
  <c r="J26" i="11"/>
  <c r="K26" i="11" s="1"/>
  <c r="J27" i="11"/>
  <c r="K27" i="11" s="1"/>
  <c r="J28" i="11"/>
  <c r="K28" i="11" s="1"/>
  <c r="J29" i="11"/>
  <c r="K29" i="11" s="1"/>
  <c r="J30" i="11"/>
  <c r="K30" i="11" s="1"/>
  <c r="J31" i="11"/>
  <c r="K31" i="11" s="1"/>
  <c r="J32" i="11"/>
  <c r="K32" i="11" s="1"/>
  <c r="J33" i="11"/>
  <c r="K33" i="11" s="1"/>
  <c r="J5" i="11"/>
  <c r="K5" i="11" s="1"/>
  <c r="B39" i="5"/>
  <c r="B40" i="5"/>
  <c r="B41" i="5"/>
  <c r="B42" i="5"/>
  <c r="B43" i="5"/>
  <c r="B44" i="5"/>
  <c r="B45" i="5"/>
  <c r="B46" i="5"/>
  <c r="B47" i="5"/>
  <c r="B48" i="5"/>
  <c r="B49" i="5"/>
  <c r="B57" i="5"/>
  <c r="B58" i="5"/>
  <c r="B59" i="5"/>
  <c r="B78" i="5"/>
  <c r="M102" i="11"/>
  <c r="M101" i="11"/>
  <c r="M100" i="11"/>
  <c r="M99" i="11"/>
  <c r="M98" i="11"/>
  <c r="M97" i="11"/>
  <c r="M96" i="11"/>
  <c r="M95" i="11"/>
  <c r="M94" i="11"/>
  <c r="M93" i="11"/>
  <c r="M92" i="11"/>
  <c r="M91" i="11"/>
  <c r="M90" i="11"/>
  <c r="M89" i="11"/>
  <c r="M88" i="11"/>
  <c r="M87" i="11"/>
  <c r="M86" i="11"/>
  <c r="M85" i="11"/>
  <c r="M84" i="11"/>
  <c r="M83" i="11"/>
  <c r="M82" i="11"/>
  <c r="M81" i="11"/>
  <c r="M80" i="11"/>
  <c r="M79" i="11"/>
  <c r="M78" i="11"/>
  <c r="M77" i="11"/>
  <c r="M76" i="11"/>
  <c r="M75" i="11"/>
  <c r="M74" i="11"/>
  <c r="M73" i="11"/>
  <c r="M72" i="11"/>
  <c r="M71" i="11"/>
  <c r="M70" i="11"/>
  <c r="M69" i="11"/>
  <c r="M68" i="11"/>
  <c r="M67" i="11"/>
  <c r="M66" i="11"/>
  <c r="M65" i="11"/>
  <c r="M64" i="11"/>
  <c r="M63" i="11"/>
  <c r="M62" i="11"/>
  <c r="M61" i="11"/>
  <c r="M60" i="11"/>
  <c r="M58" i="11"/>
  <c r="M57" i="11"/>
  <c r="M56" i="11"/>
  <c r="M55" i="11"/>
  <c r="M54" i="11"/>
  <c r="M53" i="11"/>
  <c r="M52" i="11"/>
  <c r="M51" i="11"/>
  <c r="M50" i="11"/>
  <c r="M49" i="11"/>
  <c r="M48" i="11"/>
  <c r="M47" i="11"/>
  <c r="M46" i="11"/>
  <c r="M45" i="11"/>
  <c r="M44" i="11"/>
  <c r="M43" i="11"/>
  <c r="M42" i="11"/>
  <c r="M41" i="11"/>
  <c r="M40" i="11"/>
  <c r="M39" i="11"/>
  <c r="M38" i="11"/>
  <c r="M37" i="11"/>
  <c r="M36" i="11"/>
  <c r="M35" i="11"/>
  <c r="M34" i="11"/>
  <c r="B34" i="11"/>
  <c r="E34" i="11" s="1"/>
  <c r="M33" i="11"/>
  <c r="B33" i="11"/>
  <c r="E33" i="11" s="1"/>
  <c r="M32" i="11"/>
  <c r="B32" i="11"/>
  <c r="E32" i="11" s="1"/>
  <c r="M31" i="11"/>
  <c r="B31" i="11"/>
  <c r="E31" i="11" s="1"/>
  <c r="M30" i="11"/>
  <c r="B30" i="11"/>
  <c r="E30" i="11" s="1"/>
  <c r="M29" i="11"/>
  <c r="B29" i="11"/>
  <c r="E29" i="11" s="1"/>
  <c r="M28" i="11"/>
  <c r="B28" i="11"/>
  <c r="E28" i="11" s="1"/>
  <c r="M27" i="11"/>
  <c r="B27" i="11"/>
  <c r="E27" i="11" s="1"/>
  <c r="M26" i="11"/>
  <c r="B26" i="11"/>
  <c r="E26" i="11" s="1"/>
  <c r="B25" i="11"/>
  <c r="E25" i="11" s="1"/>
  <c r="M24" i="11"/>
  <c r="B24" i="11"/>
  <c r="E24" i="11" s="1"/>
  <c r="M23" i="11"/>
  <c r="B23" i="11"/>
  <c r="E23" i="11" s="1"/>
  <c r="M22" i="11"/>
  <c r="B22" i="11"/>
  <c r="E22" i="11" s="1"/>
  <c r="M21" i="11"/>
  <c r="B21" i="11"/>
  <c r="E21" i="11" s="1"/>
  <c r="M20" i="11"/>
  <c r="B20" i="11"/>
  <c r="E20" i="11" s="1"/>
  <c r="M19" i="11"/>
  <c r="B19" i="11"/>
  <c r="E19" i="11" s="1"/>
  <c r="M18" i="11"/>
  <c r="B18" i="11"/>
  <c r="E18" i="11" s="1"/>
  <c r="M16" i="11"/>
  <c r="B16" i="11"/>
  <c r="E16" i="11" s="1"/>
  <c r="M15" i="11"/>
  <c r="B15" i="11"/>
  <c r="E15" i="11" s="1"/>
  <c r="M14" i="11"/>
  <c r="B14" i="11"/>
  <c r="E14" i="11" s="1"/>
  <c r="M13" i="11"/>
  <c r="B13" i="11"/>
  <c r="E13" i="11" s="1"/>
  <c r="M12" i="11"/>
  <c r="B12" i="11"/>
  <c r="E12" i="11" s="1"/>
  <c r="M11" i="11"/>
  <c r="B11" i="11"/>
  <c r="E11" i="11" s="1"/>
  <c r="M10" i="11"/>
  <c r="B10" i="11"/>
  <c r="E10" i="11" s="1"/>
  <c r="M9" i="11"/>
  <c r="B9" i="11"/>
  <c r="E9" i="11" s="1"/>
  <c r="M8" i="11"/>
  <c r="B8" i="11"/>
  <c r="E8" i="11" s="1"/>
  <c r="M7" i="11"/>
  <c r="B7" i="11"/>
  <c r="E7" i="11" s="1"/>
  <c r="M6" i="11"/>
  <c r="B6" i="11"/>
  <c r="E6" i="11" s="1"/>
  <c r="M5" i="11"/>
  <c r="B5" i="11"/>
  <c r="AM51" i="6" l="1"/>
  <c r="AM80" i="6"/>
  <c r="AM18" i="6"/>
  <c r="AM24" i="6"/>
  <c r="AM17" i="6"/>
  <c r="AM34" i="6"/>
  <c r="AM35" i="6"/>
  <c r="AM87" i="6"/>
  <c r="AM37" i="6"/>
  <c r="AM36" i="6"/>
  <c r="L35" i="6"/>
  <c r="L37" i="6"/>
  <c r="L36" i="6"/>
  <c r="L34" i="6"/>
  <c r="D35" i="6"/>
  <c r="D37" i="6"/>
  <c r="D36" i="6"/>
  <c r="D34" i="6"/>
  <c r="E35" i="6"/>
  <c r="E37" i="6"/>
  <c r="E36" i="6"/>
  <c r="E34" i="6"/>
  <c r="F35" i="6"/>
  <c r="F37" i="6"/>
  <c r="F36" i="6"/>
  <c r="F34" i="6"/>
  <c r="G35" i="6"/>
  <c r="G37" i="6"/>
  <c r="G36" i="6"/>
  <c r="G34" i="6"/>
  <c r="H35" i="6"/>
  <c r="H37" i="6"/>
  <c r="H36" i="6"/>
  <c r="H34" i="6"/>
  <c r="I35" i="6"/>
  <c r="I37" i="6"/>
  <c r="I36" i="6"/>
  <c r="I34" i="6"/>
  <c r="AM86" i="6"/>
  <c r="I86" i="6"/>
  <c r="G84" i="6"/>
  <c r="F84" i="6"/>
  <c r="I85" i="6"/>
  <c r="I80" i="6"/>
  <c r="D87" i="6"/>
  <c r="I81" i="6"/>
  <c r="L81" i="6"/>
  <c r="H86" i="6"/>
  <c r="L80" i="6"/>
  <c r="H85" i="6"/>
  <c r="G86" i="6"/>
  <c r="G85" i="6"/>
  <c r="H80" i="6"/>
  <c r="E85" i="6"/>
  <c r="G80" i="6"/>
  <c r="E86" i="6"/>
  <c r="E80" i="6"/>
  <c r="D85" i="6"/>
  <c r="D80" i="6"/>
  <c r="D86" i="6"/>
  <c r="D79" i="6"/>
  <c r="E55" i="6"/>
  <c r="G57" i="6"/>
  <c r="I59" i="6"/>
  <c r="L61" i="6"/>
  <c r="E64" i="6"/>
  <c r="G66" i="6"/>
  <c r="I68" i="6"/>
  <c r="I69" i="6"/>
  <c r="F56" i="6"/>
  <c r="D63" i="6"/>
  <c r="L69" i="6"/>
  <c r="E79" i="6"/>
  <c r="F55" i="6"/>
  <c r="H57" i="6"/>
  <c r="D62" i="6"/>
  <c r="F64" i="6"/>
  <c r="H66" i="6"/>
  <c r="L68" i="6"/>
  <c r="F79" i="6"/>
  <c r="G55" i="6"/>
  <c r="I57" i="6"/>
  <c r="L59" i="6"/>
  <c r="E62" i="6"/>
  <c r="G64" i="6"/>
  <c r="I66" i="6"/>
  <c r="D69" i="6"/>
  <c r="G79" i="6"/>
  <c r="H55" i="6"/>
  <c r="L57" i="6"/>
  <c r="D60" i="6"/>
  <c r="F62" i="6"/>
  <c r="H64" i="6"/>
  <c r="L66" i="6"/>
  <c r="E69" i="6"/>
  <c r="F78" i="6"/>
  <c r="H79" i="6"/>
  <c r="I55" i="6"/>
  <c r="D58" i="6"/>
  <c r="E60" i="6"/>
  <c r="G62" i="6"/>
  <c r="I64" i="6"/>
  <c r="D67" i="6"/>
  <c r="F69" i="6"/>
  <c r="H69" i="6"/>
  <c r="D78" i="6"/>
  <c r="E56" i="6"/>
  <c r="E65" i="6"/>
  <c r="G67" i="6"/>
  <c r="I79" i="6"/>
  <c r="L55" i="6"/>
  <c r="E58" i="6"/>
  <c r="F60" i="6"/>
  <c r="H62" i="6"/>
  <c r="L64" i="6"/>
  <c r="E67" i="6"/>
  <c r="G69" i="6"/>
  <c r="L79" i="6"/>
  <c r="D56" i="6"/>
  <c r="F58" i="6"/>
  <c r="G60" i="6"/>
  <c r="D65" i="6"/>
  <c r="F67" i="6"/>
  <c r="H60" i="6"/>
  <c r="I58" i="6"/>
  <c r="G65" i="6"/>
  <c r="G78" i="6"/>
  <c r="H17" i="6"/>
  <c r="H56" i="6"/>
  <c r="L58" i="6"/>
  <c r="D61" i="6"/>
  <c r="F63" i="6"/>
  <c r="H65" i="6"/>
  <c r="L67" i="6"/>
  <c r="H78" i="6"/>
  <c r="H16" i="6"/>
  <c r="I56" i="6"/>
  <c r="D59" i="6"/>
  <c r="E61" i="6"/>
  <c r="G63" i="6"/>
  <c r="I65" i="6"/>
  <c r="D68" i="6"/>
  <c r="D64" i="6"/>
  <c r="H67" i="6"/>
  <c r="G56" i="6"/>
  <c r="E63" i="6"/>
  <c r="I67" i="6"/>
  <c r="I78" i="6"/>
  <c r="L56" i="6"/>
  <c r="E59" i="6"/>
  <c r="F61" i="6"/>
  <c r="H63" i="6"/>
  <c r="L65" i="6"/>
  <c r="E68" i="6"/>
  <c r="I62" i="6"/>
  <c r="L62" i="6"/>
  <c r="L60" i="6"/>
  <c r="L78" i="6"/>
  <c r="D57" i="6"/>
  <c r="F59" i="6"/>
  <c r="G61" i="6"/>
  <c r="I63" i="6"/>
  <c r="D66" i="6"/>
  <c r="F68" i="6"/>
  <c r="L53" i="6"/>
  <c r="E57" i="6"/>
  <c r="G59" i="6"/>
  <c r="H61" i="6"/>
  <c r="L63" i="6"/>
  <c r="E66" i="6"/>
  <c r="G68" i="6"/>
  <c r="D55" i="6"/>
  <c r="F57" i="6"/>
  <c r="H59" i="6"/>
  <c r="I61" i="6"/>
  <c r="F66" i="6"/>
  <c r="H68" i="6"/>
  <c r="G58" i="6"/>
  <c r="E78" i="6"/>
  <c r="H58" i="6"/>
  <c r="I60" i="6"/>
  <c r="F65" i="6"/>
  <c r="F17" i="6"/>
  <c r="E5" i="11"/>
  <c r="F51" i="6"/>
  <c r="E51" i="6"/>
  <c r="D51" i="6"/>
  <c r="L130" i="6"/>
  <c r="L8" i="6"/>
  <c r="L114" i="6"/>
  <c r="E17" i="6"/>
  <c r="L9" i="6"/>
  <c r="E24" i="6"/>
  <c r="L10" i="6"/>
  <c r="L99" i="6"/>
  <c r="F24" i="6"/>
  <c r="L11" i="6"/>
  <c r="L28" i="6"/>
  <c r="L48" i="6"/>
  <c r="L82" i="6"/>
  <c r="L100" i="6"/>
  <c r="L116" i="6"/>
  <c r="L132" i="6"/>
  <c r="L148" i="6"/>
  <c r="D17" i="6"/>
  <c r="L73" i="6"/>
  <c r="L74" i="6"/>
  <c r="L141" i="6"/>
  <c r="L42" i="6"/>
  <c r="L110" i="6"/>
  <c r="L128" i="6"/>
  <c r="L97" i="6"/>
  <c r="L47" i="6"/>
  <c r="G24" i="6"/>
  <c r="L12" i="6"/>
  <c r="L29" i="6"/>
  <c r="L49" i="6"/>
  <c r="L83" i="6"/>
  <c r="L101" i="6"/>
  <c r="L117" i="6"/>
  <c r="L133" i="6"/>
  <c r="L149" i="6"/>
  <c r="L32" i="6"/>
  <c r="L88" i="6"/>
  <c r="L136" i="6"/>
  <c r="L16" i="6"/>
  <c r="L70" i="6"/>
  <c r="L89" i="6"/>
  <c r="L137" i="6"/>
  <c r="L17" i="6"/>
  <c r="L71" i="6"/>
  <c r="L122" i="6"/>
  <c r="L18" i="6"/>
  <c r="L107" i="6"/>
  <c r="L19" i="6"/>
  <c r="L108" i="6"/>
  <c r="L20" i="6"/>
  <c r="L109" i="6"/>
  <c r="L126" i="6"/>
  <c r="L43" i="6"/>
  <c r="L95" i="6"/>
  <c r="L143" i="6"/>
  <c r="L44" i="6"/>
  <c r="L96" i="6"/>
  <c r="H24" i="6"/>
  <c r="L13" i="6"/>
  <c r="L30" i="6"/>
  <c r="L50" i="6"/>
  <c r="L84" i="6"/>
  <c r="L102" i="6"/>
  <c r="L118" i="6"/>
  <c r="L134" i="6"/>
  <c r="L150" i="6"/>
  <c r="L24" i="6"/>
  <c r="L120" i="6"/>
  <c r="L33" i="6"/>
  <c r="L121" i="6"/>
  <c r="L106" i="6"/>
  <c r="L39" i="6"/>
  <c r="L72" i="6"/>
  <c r="L123" i="6"/>
  <c r="L124" i="6"/>
  <c r="L125" i="6"/>
  <c r="L21" i="6"/>
  <c r="L94" i="6"/>
  <c r="L6" i="6"/>
  <c r="L111" i="6"/>
  <c r="L23" i="6"/>
  <c r="L77" i="6"/>
  <c r="L144" i="6"/>
  <c r="L129" i="6"/>
  <c r="D24" i="6"/>
  <c r="L98" i="6"/>
  <c r="I24" i="6"/>
  <c r="L14" i="6"/>
  <c r="L31" i="6"/>
  <c r="L52" i="6"/>
  <c r="L87" i="6"/>
  <c r="L103" i="6"/>
  <c r="L119" i="6"/>
  <c r="L135" i="6"/>
  <c r="L5" i="6"/>
  <c r="L15" i="6"/>
  <c r="L104" i="6"/>
  <c r="L54" i="6"/>
  <c r="L105" i="6"/>
  <c r="L38" i="6"/>
  <c r="L90" i="6"/>
  <c r="L138" i="6"/>
  <c r="L91" i="6"/>
  <c r="L139" i="6"/>
  <c r="L40" i="6"/>
  <c r="L92" i="6"/>
  <c r="L140" i="6"/>
  <c r="L41" i="6"/>
  <c r="L93" i="6"/>
  <c r="L75" i="6"/>
  <c r="L142" i="6"/>
  <c r="L22" i="6"/>
  <c r="L76" i="6"/>
  <c r="L127" i="6"/>
  <c r="L7" i="6"/>
  <c r="L112" i="6"/>
  <c r="I17" i="6"/>
  <c r="L45" i="6"/>
  <c r="L113" i="6"/>
  <c r="L26" i="6"/>
  <c r="G17" i="6"/>
  <c r="L27" i="6"/>
  <c r="L131" i="6"/>
  <c r="L25" i="6"/>
  <c r="L145" i="6"/>
  <c r="L115" i="6"/>
  <c r="L51" i="6"/>
  <c r="L46" i="6"/>
  <c r="L147" i="6"/>
  <c r="I51" i="6"/>
  <c r="H51" i="6"/>
  <c r="G51" i="6"/>
  <c r="L146" i="6"/>
  <c r="H9" i="6"/>
  <c r="G9" i="6"/>
  <c r="H122" i="6"/>
  <c r="E9" i="6"/>
  <c r="I113" i="6"/>
  <c r="K113" i="6" s="1"/>
  <c r="D6" i="6"/>
  <c r="H113" i="6"/>
  <c r="G113" i="6"/>
  <c r="G47" i="6"/>
  <c r="F47" i="6"/>
  <c r="D33" i="6"/>
  <c r="H32" i="6"/>
  <c r="E21" i="6"/>
  <c r="I122" i="6"/>
  <c r="K122" i="6" s="1"/>
  <c r="D5" i="6"/>
  <c r="D21" i="6"/>
  <c r="F38" i="6"/>
  <c r="E5" i="6"/>
  <c r="D11" i="6"/>
  <c r="H123" i="6"/>
  <c r="G5" i="6"/>
  <c r="I10" i="6"/>
  <c r="H5" i="6"/>
  <c r="H10" i="6"/>
  <c r="I5" i="6"/>
  <c r="D10" i="6"/>
  <c r="E105" i="6"/>
  <c r="F16" i="6"/>
  <c r="G92" i="6"/>
  <c r="G143" i="6"/>
  <c r="F143" i="6"/>
  <c r="E143" i="6"/>
  <c r="H134" i="6"/>
  <c r="F14" i="6"/>
  <c r="G21" i="6"/>
  <c r="H33" i="6"/>
  <c r="G50" i="6"/>
  <c r="F71" i="6"/>
  <c r="E82" i="6"/>
  <c r="G95" i="6"/>
  <c r="F105" i="6"/>
  <c r="D114" i="6"/>
  <c r="G126" i="6"/>
  <c r="D135" i="6"/>
  <c r="H143" i="6"/>
  <c r="G16" i="6"/>
  <c r="F101" i="6"/>
  <c r="G122" i="6"/>
  <c r="H21" i="6"/>
  <c r="I33" i="6"/>
  <c r="H50" i="6"/>
  <c r="G71" i="6"/>
  <c r="H84" i="6"/>
  <c r="H95" i="6"/>
  <c r="G105" i="6"/>
  <c r="E114" i="6"/>
  <c r="H126" i="6"/>
  <c r="E135" i="6"/>
  <c r="I143" i="6"/>
  <c r="I22" i="6"/>
  <c r="D41" i="6"/>
  <c r="F87" i="6"/>
  <c r="I105" i="6"/>
  <c r="K105" i="6" s="1"/>
  <c r="D127" i="6"/>
  <c r="H146" i="6"/>
  <c r="D27" i="6"/>
  <c r="D53" i="6"/>
  <c r="F75" i="6"/>
  <c r="G87" i="6"/>
  <c r="H108" i="6"/>
  <c r="E127" i="6"/>
  <c r="I146" i="6"/>
  <c r="K146" i="6" s="1"/>
  <c r="E53" i="6"/>
  <c r="G75" i="6"/>
  <c r="D97" i="6"/>
  <c r="G117" i="6"/>
  <c r="F138" i="6"/>
  <c r="D14" i="6"/>
  <c r="D42" i="6"/>
  <c r="I87" i="6"/>
  <c r="D109" i="6"/>
  <c r="G127" i="6"/>
  <c r="H147" i="6"/>
  <c r="H27" i="6"/>
  <c r="I75" i="6"/>
  <c r="D100" i="6"/>
  <c r="H118" i="6"/>
  <c r="H138" i="6"/>
  <c r="H15" i="6"/>
  <c r="E43" i="6"/>
  <c r="I90" i="6"/>
  <c r="F109" i="6"/>
  <c r="G130" i="6"/>
  <c r="D148" i="6"/>
  <c r="D28" i="6"/>
  <c r="F76" i="6"/>
  <c r="F100" i="6"/>
  <c r="G121" i="6"/>
  <c r="D140" i="6"/>
  <c r="E28" i="6"/>
  <c r="H100" i="6"/>
  <c r="H121" i="6"/>
  <c r="E140" i="6"/>
  <c r="E31" i="6"/>
  <c r="I46" i="6"/>
  <c r="D92" i="6"/>
  <c r="E113" i="6"/>
  <c r="H131" i="6"/>
  <c r="I150" i="6"/>
  <c r="K150" i="6" s="1"/>
  <c r="G31" i="6"/>
  <c r="D47" i="6"/>
  <c r="H70" i="6"/>
  <c r="E92" i="6"/>
  <c r="F113" i="6"/>
  <c r="I131" i="6"/>
  <c r="K131" i="6" s="1"/>
  <c r="H142" i="6"/>
  <c r="H31" i="6"/>
  <c r="H103" i="6"/>
  <c r="H22" i="6"/>
  <c r="H40" i="6"/>
  <c r="I50" i="6"/>
  <c r="H71" i="6"/>
  <c r="E87" i="6"/>
  <c r="I95" i="6"/>
  <c r="H105" i="6"/>
  <c r="D117" i="6"/>
  <c r="I126" i="6"/>
  <c r="K126" i="6" s="1"/>
  <c r="F135" i="6"/>
  <c r="D144" i="6"/>
  <c r="I52" i="6"/>
  <c r="G74" i="6"/>
  <c r="D96" i="6"/>
  <c r="E117" i="6"/>
  <c r="G135" i="6"/>
  <c r="H41" i="6"/>
  <c r="E96" i="6"/>
  <c r="F117" i="6"/>
  <c r="I135" i="6"/>
  <c r="E27" i="6"/>
  <c r="I41" i="6"/>
  <c r="H87" i="6"/>
  <c r="I108" i="6"/>
  <c r="K108" i="6" s="1"/>
  <c r="F127" i="6"/>
  <c r="G147" i="6"/>
  <c r="G27" i="6"/>
  <c r="G53" i="6"/>
  <c r="H75" i="6"/>
  <c r="I99" i="6"/>
  <c r="F118" i="6"/>
  <c r="G138" i="6"/>
  <c r="G15" i="6"/>
  <c r="D43" i="6"/>
  <c r="D88" i="6"/>
  <c r="E109" i="6"/>
  <c r="F130" i="6"/>
  <c r="I147" i="6"/>
  <c r="I27" i="6"/>
  <c r="D76" i="6"/>
  <c r="E100" i="6"/>
  <c r="E119" i="6"/>
  <c r="G139" i="6"/>
  <c r="I15" i="6"/>
  <c r="G46" i="6"/>
  <c r="H91" i="6"/>
  <c r="G109" i="6"/>
  <c r="H130" i="6"/>
  <c r="E148" i="6"/>
  <c r="D16" i="6"/>
  <c r="H46" i="6"/>
  <c r="I91" i="6"/>
  <c r="F110" i="6"/>
  <c r="I130" i="6"/>
  <c r="K130" i="6" s="1"/>
  <c r="H150" i="6"/>
  <c r="E16" i="6"/>
  <c r="E101" i="6"/>
  <c r="D122" i="6"/>
  <c r="F140" i="6"/>
  <c r="I20" i="6"/>
  <c r="E47" i="6"/>
  <c r="I70" i="6"/>
  <c r="F92" i="6"/>
  <c r="F53" i="6"/>
  <c r="D104" i="6"/>
  <c r="F39" i="6"/>
  <c r="F95" i="6"/>
  <c r="D82" i="6"/>
  <c r="E71" i="6"/>
  <c r="I134" i="6"/>
  <c r="D71" i="6"/>
  <c r="D132" i="6"/>
  <c r="F54" i="6"/>
  <c r="F40" i="6"/>
  <c r="F20" i="6"/>
  <c r="F52" i="6"/>
  <c r="F6" i="6"/>
  <c r="D8" i="6"/>
  <c r="E11" i="6"/>
  <c r="G14" i="6"/>
  <c r="H18" i="6"/>
  <c r="I21" i="6"/>
  <c r="I25" i="6"/>
  <c r="D29" i="6"/>
  <c r="I31" i="6"/>
  <c r="D39" i="6"/>
  <c r="E42" i="6"/>
  <c r="G45" i="6"/>
  <c r="E48" i="6"/>
  <c r="D52" i="6"/>
  <c r="D72" i="6"/>
  <c r="H74" i="6"/>
  <c r="F77" i="6"/>
  <c r="D81" i="6"/>
  <c r="H83" i="6"/>
  <c r="F88" i="6"/>
  <c r="D91" i="6"/>
  <c r="H93" i="6"/>
  <c r="F96" i="6"/>
  <c r="D99" i="6"/>
  <c r="H101" i="6"/>
  <c r="F104" i="6"/>
  <c r="D107" i="6"/>
  <c r="H109" i="6"/>
  <c r="F112" i="6"/>
  <c r="D115" i="6"/>
  <c r="H117" i="6"/>
  <c r="F120" i="6"/>
  <c r="D123" i="6"/>
  <c r="H125" i="6"/>
  <c r="F128" i="6"/>
  <c r="D131" i="6"/>
  <c r="H133" i="6"/>
  <c r="F136" i="6"/>
  <c r="D139" i="6"/>
  <c r="H141" i="6"/>
  <c r="F144" i="6"/>
  <c r="D147" i="6"/>
  <c r="H149" i="6"/>
  <c r="E8" i="6"/>
  <c r="G11" i="6"/>
  <c r="H14" i="6"/>
  <c r="I18" i="6"/>
  <c r="D22" i="6"/>
  <c r="D26" i="6"/>
  <c r="E29" i="6"/>
  <c r="D32" i="6"/>
  <c r="E39" i="6"/>
  <c r="G42" i="6"/>
  <c r="H45" i="6"/>
  <c r="G48" i="6"/>
  <c r="E52" i="6"/>
  <c r="E72" i="6"/>
  <c r="I74" i="6"/>
  <c r="G77" i="6"/>
  <c r="E81" i="6"/>
  <c r="I83" i="6"/>
  <c r="G88" i="6"/>
  <c r="E91" i="6"/>
  <c r="I93" i="6"/>
  <c r="G96" i="6"/>
  <c r="E99" i="6"/>
  <c r="I101" i="6"/>
  <c r="G104" i="6"/>
  <c r="E107" i="6"/>
  <c r="I109" i="6"/>
  <c r="G112" i="6"/>
  <c r="E115" i="6"/>
  <c r="I117" i="6"/>
  <c r="K117" i="6" s="1"/>
  <c r="G120" i="6"/>
  <c r="E123" i="6"/>
  <c r="I125" i="6"/>
  <c r="G128" i="6"/>
  <c r="E131" i="6"/>
  <c r="I133" i="6"/>
  <c r="K133" i="6" s="1"/>
  <c r="G136" i="6"/>
  <c r="E139" i="6"/>
  <c r="I141" i="6"/>
  <c r="K141" i="6" s="1"/>
  <c r="G144" i="6"/>
  <c r="E147" i="6"/>
  <c r="I149" i="6"/>
  <c r="K149" i="6" s="1"/>
  <c r="I11" i="6"/>
  <c r="E19" i="6"/>
  <c r="G26" i="6"/>
  <c r="G32" i="6"/>
  <c r="I42" i="6"/>
  <c r="I48" i="6"/>
  <c r="G72" i="6"/>
  <c r="I77" i="6"/>
  <c r="E84" i="6"/>
  <c r="G91" i="6"/>
  <c r="I96" i="6"/>
  <c r="E102" i="6"/>
  <c r="G107" i="6"/>
  <c r="I112" i="6"/>
  <c r="K112" i="6" s="1"/>
  <c r="E118" i="6"/>
  <c r="G123" i="6"/>
  <c r="I128" i="6"/>
  <c r="K128" i="6" s="1"/>
  <c r="G8" i="6"/>
  <c r="H11" i="6"/>
  <c r="I14" i="6"/>
  <c r="D19" i="6"/>
  <c r="E22" i="6"/>
  <c r="E26" i="6"/>
  <c r="F29" i="6"/>
  <c r="E32" i="6"/>
  <c r="G39" i="6"/>
  <c r="H42" i="6"/>
  <c r="I45" i="6"/>
  <c r="H48" i="6"/>
  <c r="G52" i="6"/>
  <c r="F72" i="6"/>
  <c r="D75" i="6"/>
  <c r="H77" i="6"/>
  <c r="F81" i="6"/>
  <c r="D84" i="6"/>
  <c r="H88" i="6"/>
  <c r="F91" i="6"/>
  <c r="D94" i="6"/>
  <c r="H96" i="6"/>
  <c r="F99" i="6"/>
  <c r="D102" i="6"/>
  <c r="H104" i="6"/>
  <c r="F107" i="6"/>
  <c r="D110" i="6"/>
  <c r="H112" i="6"/>
  <c r="F115" i="6"/>
  <c r="D118" i="6"/>
  <c r="H120" i="6"/>
  <c r="F123" i="6"/>
  <c r="D126" i="6"/>
  <c r="H128" i="6"/>
  <c r="F131" i="6"/>
  <c r="D134" i="6"/>
  <c r="H136" i="6"/>
  <c r="F139" i="6"/>
  <c r="D142" i="6"/>
  <c r="H144" i="6"/>
  <c r="F147" i="6"/>
  <c r="D150" i="6"/>
  <c r="H8" i="6"/>
  <c r="D15" i="6"/>
  <c r="G22" i="6"/>
  <c r="G29" i="6"/>
  <c r="H39" i="6"/>
  <c r="D46" i="6"/>
  <c r="H52" i="6"/>
  <c r="E75" i="6"/>
  <c r="G81" i="6"/>
  <c r="I88" i="6"/>
  <c r="E94" i="6"/>
  <c r="G99" i="6"/>
  <c r="I104" i="6"/>
  <c r="K104" i="6" s="1"/>
  <c r="E110" i="6"/>
  <c r="G115" i="6"/>
  <c r="I120" i="6"/>
  <c r="K120" i="6" s="1"/>
  <c r="E126" i="6"/>
  <c r="G131" i="6"/>
  <c r="I9" i="6"/>
  <c r="I13" i="6"/>
  <c r="H19" i="6"/>
  <c r="H23" i="6"/>
  <c r="G28" i="6"/>
  <c r="I32" i="6"/>
  <c r="I40" i="6"/>
  <c r="I44" i="6"/>
  <c r="E49" i="6"/>
  <c r="I53" i="6"/>
  <c r="I72" i="6"/>
  <c r="E76" i="6"/>
  <c r="I89" i="6"/>
  <c r="E93" i="6"/>
  <c r="E97" i="6"/>
  <c r="G100" i="6"/>
  <c r="I103" i="6"/>
  <c r="I107" i="6"/>
  <c r="K107" i="6" s="1"/>
  <c r="E111" i="6"/>
  <c r="G114" i="6"/>
  <c r="G118" i="6"/>
  <c r="I121" i="6"/>
  <c r="K121" i="6" s="1"/>
  <c r="E125" i="6"/>
  <c r="E129" i="6"/>
  <c r="G132" i="6"/>
  <c r="H135" i="6"/>
  <c r="I138" i="6"/>
  <c r="G142" i="6"/>
  <c r="H145" i="6"/>
  <c r="I148" i="6"/>
  <c r="K148" i="6" s="1"/>
  <c r="E6" i="6"/>
  <c r="E10" i="6"/>
  <c r="E14" i="6"/>
  <c r="D20" i="6"/>
  <c r="D25" i="6"/>
  <c r="I28" i="6"/>
  <c r="E33" i="6"/>
  <c r="E41" i="6"/>
  <c r="E45" i="6"/>
  <c r="G49" i="6"/>
  <c r="E54" i="6"/>
  <c r="E73" i="6"/>
  <c r="G76" i="6"/>
  <c r="I84" i="6"/>
  <c r="E90" i="6"/>
  <c r="G93" i="6"/>
  <c r="G97" i="6"/>
  <c r="I100" i="6"/>
  <c r="E104" i="6"/>
  <c r="E108" i="6"/>
  <c r="G111" i="6"/>
  <c r="I114" i="6"/>
  <c r="I118" i="6"/>
  <c r="K118" i="6" s="1"/>
  <c r="E122" i="6"/>
  <c r="G125" i="6"/>
  <c r="G129" i="6"/>
  <c r="I132" i="6"/>
  <c r="K132" i="6" s="1"/>
  <c r="D136" i="6"/>
  <c r="H139" i="6"/>
  <c r="I142" i="6"/>
  <c r="K142" i="6" s="1"/>
  <c r="D146" i="6"/>
  <c r="E149" i="6"/>
  <c r="G6" i="6"/>
  <c r="G10" i="6"/>
  <c r="E15" i="6"/>
  <c r="E20" i="6"/>
  <c r="E25" i="6"/>
  <c r="H29" i="6"/>
  <c r="G33" i="6"/>
  <c r="G41" i="6"/>
  <c r="E46" i="6"/>
  <c r="H49" i="6"/>
  <c r="G54" i="6"/>
  <c r="D70" i="6"/>
  <c r="F73" i="6"/>
  <c r="H76" i="6"/>
  <c r="H81" i="6"/>
  <c r="F90" i="6"/>
  <c r="F94" i="6"/>
  <c r="H97" i="6"/>
  <c r="D101" i="6"/>
  <c r="D105" i="6"/>
  <c r="F108" i="6"/>
  <c r="H111" i="6"/>
  <c r="H115" i="6"/>
  <c r="D119" i="6"/>
  <c r="F122" i="6"/>
  <c r="F126" i="6"/>
  <c r="H129" i="6"/>
  <c r="D133" i="6"/>
  <c r="E136" i="6"/>
  <c r="I139" i="6"/>
  <c r="D143" i="6"/>
  <c r="E146" i="6"/>
  <c r="F142" i="6"/>
  <c r="G103" i="6"/>
  <c r="F150" i="6"/>
  <c r="E112" i="6"/>
  <c r="F8" i="6"/>
  <c r="E150" i="6"/>
  <c r="I145" i="6"/>
  <c r="K145" i="6" s="1"/>
  <c r="G141" i="6"/>
  <c r="I137" i="6"/>
  <c r="E134" i="6"/>
  <c r="I129" i="6"/>
  <c r="K129" i="6" s="1"/>
  <c r="I124" i="6"/>
  <c r="K124" i="6" s="1"/>
  <c r="D121" i="6"/>
  <c r="G116" i="6"/>
  <c r="D112" i="6"/>
  <c r="H107" i="6"/>
  <c r="E103" i="6"/>
  <c r="H98" i="6"/>
  <c r="I94" i="6"/>
  <c r="D90" i="6"/>
  <c r="F83" i="6"/>
  <c r="D74" i="6"/>
  <c r="E70" i="6"/>
  <c r="D50" i="6"/>
  <c r="H44" i="6"/>
  <c r="D40" i="6"/>
  <c r="H30" i="6"/>
  <c r="H25" i="6"/>
  <c r="I19" i="6"/>
  <c r="E13" i="6"/>
  <c r="I7" i="6"/>
  <c r="G149" i="6"/>
  <c r="G145" i="6"/>
  <c r="F141" i="6"/>
  <c r="H137" i="6"/>
  <c r="G133" i="6"/>
  <c r="F129" i="6"/>
  <c r="H124" i="6"/>
  <c r="E120" i="6"/>
  <c r="F116" i="6"/>
  <c r="I111" i="6"/>
  <c r="K111" i="6" s="1"/>
  <c r="I106" i="6"/>
  <c r="K106" i="6" s="1"/>
  <c r="D103" i="6"/>
  <c r="G98" i="6"/>
  <c r="H94" i="6"/>
  <c r="H89" i="6"/>
  <c r="E83" i="6"/>
  <c r="I73" i="6"/>
  <c r="I49" i="6"/>
  <c r="G44" i="6"/>
  <c r="I39" i="6"/>
  <c r="G30" i="6"/>
  <c r="G25" i="6"/>
  <c r="G19" i="6"/>
  <c r="D13" i="6"/>
  <c r="H7" i="6"/>
  <c r="F149" i="6"/>
  <c r="F145" i="6"/>
  <c r="E141" i="6"/>
  <c r="G137" i="6"/>
  <c r="F133" i="6"/>
  <c r="D129" i="6"/>
  <c r="G124" i="6"/>
  <c r="D120" i="6"/>
  <c r="E116" i="6"/>
  <c r="F111" i="6"/>
  <c r="H106" i="6"/>
  <c r="I102" i="6"/>
  <c r="F98" i="6"/>
  <c r="G94" i="6"/>
  <c r="G89" i="6"/>
  <c r="D83" i="6"/>
  <c r="H73" i="6"/>
  <c r="F49" i="6"/>
  <c r="E44" i="6"/>
  <c r="I38" i="6"/>
  <c r="F30" i="6"/>
  <c r="F25" i="6"/>
  <c r="G18" i="6"/>
  <c r="I12" i="6"/>
  <c r="G7" i="6"/>
  <c r="D149" i="6"/>
  <c r="E145" i="6"/>
  <c r="D141" i="6"/>
  <c r="F137" i="6"/>
  <c r="E133" i="6"/>
  <c r="E128" i="6"/>
  <c r="F124" i="6"/>
  <c r="I119" i="6"/>
  <c r="K119" i="6" s="1"/>
  <c r="D116" i="6"/>
  <c r="D111" i="6"/>
  <c r="G106" i="6"/>
  <c r="H102" i="6"/>
  <c r="E98" i="6"/>
  <c r="F93" i="6"/>
  <c r="F89" i="6"/>
  <c r="I82" i="6"/>
  <c r="G73" i="6"/>
  <c r="I54" i="6"/>
  <c r="D49" i="6"/>
  <c r="D44" i="6"/>
  <c r="H38" i="6"/>
  <c r="E30" i="6"/>
  <c r="I23" i="6"/>
  <c r="E18" i="6"/>
  <c r="H12" i="6"/>
  <c r="E7" i="6"/>
  <c r="F42" i="6"/>
  <c r="G146" i="6"/>
  <c r="G134" i="6"/>
  <c r="F125" i="6"/>
  <c r="I116" i="6"/>
  <c r="G108" i="6"/>
  <c r="E95" i="6"/>
  <c r="F74" i="6"/>
  <c r="F46" i="6"/>
  <c r="D31" i="6"/>
  <c r="H20" i="6"/>
  <c r="D9" i="6"/>
  <c r="F146" i="6"/>
  <c r="D138" i="6"/>
  <c r="D130" i="6"/>
  <c r="E121" i="6"/>
  <c r="D108" i="6"/>
  <c r="I98" i="6"/>
  <c r="G90" i="6"/>
  <c r="F70" i="6"/>
  <c r="E50" i="6"/>
  <c r="E40" i="6"/>
  <c r="H26" i="6"/>
  <c r="G13" i="6"/>
  <c r="F43" i="6"/>
  <c r="F28" i="6"/>
  <c r="H148" i="6"/>
  <c r="I140" i="6"/>
  <c r="K140" i="6" s="1"/>
  <c r="H132" i="6"/>
  <c r="E124" i="6"/>
  <c r="I115" i="6"/>
  <c r="K115" i="6" s="1"/>
  <c r="F106" i="6"/>
  <c r="D98" i="6"/>
  <c r="E89" i="6"/>
  <c r="E77" i="6"/>
  <c r="D48" i="6"/>
  <c r="I43" i="6"/>
  <c r="G38" i="6"/>
  <c r="D30" i="6"/>
  <c r="G23" i="6"/>
  <c r="D18" i="6"/>
  <c r="G12" i="6"/>
  <c r="D7" i="6"/>
  <c r="G148" i="6"/>
  <c r="I144" i="6"/>
  <c r="K144" i="6" s="1"/>
  <c r="H140" i="6"/>
  <c r="D137" i="6"/>
  <c r="F132" i="6"/>
  <c r="I127" i="6"/>
  <c r="D124" i="6"/>
  <c r="G119" i="6"/>
  <c r="H114" i="6"/>
  <c r="H110" i="6"/>
  <c r="E106" i="6"/>
  <c r="F102" i="6"/>
  <c r="I97" i="6"/>
  <c r="I92" i="6"/>
  <c r="D89" i="6"/>
  <c r="G82" i="6"/>
  <c r="D77" i="6"/>
  <c r="H72" i="6"/>
  <c r="D54" i="6"/>
  <c r="I47" i="6"/>
  <c r="H43" i="6"/>
  <c r="E38" i="6"/>
  <c r="I29" i="6"/>
  <c r="E23" i="6"/>
  <c r="I16" i="6"/>
  <c r="E12" i="6"/>
  <c r="I6" i="6"/>
  <c r="F22" i="6"/>
  <c r="G150" i="6"/>
  <c r="E138" i="6"/>
  <c r="E130" i="6"/>
  <c r="F121" i="6"/>
  <c r="D113" i="6"/>
  <c r="H99" i="6"/>
  <c r="H90" i="6"/>
  <c r="G70" i="6"/>
  <c r="F50" i="6"/>
  <c r="G40" i="6"/>
  <c r="I26" i="6"/>
  <c r="H13" i="6"/>
  <c r="E142" i="6"/>
  <c r="F134" i="6"/>
  <c r="D125" i="6"/>
  <c r="H116" i="6"/>
  <c r="F103" i="6"/>
  <c r="D95" i="6"/>
  <c r="G83" i="6"/>
  <c r="E74" i="6"/>
  <c r="D45" i="6"/>
  <c r="I30" i="6"/>
  <c r="G20" i="6"/>
  <c r="I8" i="6"/>
  <c r="F23" i="6"/>
  <c r="F48" i="6"/>
  <c r="D145" i="6"/>
  <c r="E137" i="6"/>
  <c r="D128" i="6"/>
  <c r="H119" i="6"/>
  <c r="I110" i="6"/>
  <c r="K110" i="6" s="1"/>
  <c r="G102" i="6"/>
  <c r="D93" i="6"/>
  <c r="H82" i="6"/>
  <c r="D73" i="6"/>
  <c r="H54" i="6"/>
  <c r="F13" i="6"/>
  <c r="F32" i="6"/>
  <c r="F148" i="6"/>
  <c r="E144" i="6"/>
  <c r="G140" i="6"/>
  <c r="I136" i="6"/>
  <c r="K136" i="6" s="1"/>
  <c r="E132" i="6"/>
  <c r="H127" i="6"/>
  <c r="I123" i="6"/>
  <c r="K123" i="6" s="1"/>
  <c r="F119" i="6"/>
  <c r="F114" i="6"/>
  <c r="G110" i="6"/>
  <c r="D106" i="6"/>
  <c r="G101" i="6"/>
  <c r="F97" i="6"/>
  <c r="H92" i="6"/>
  <c r="E88" i="6"/>
  <c r="F82" i="6"/>
  <c r="I76" i="6"/>
  <c r="I71" i="6"/>
  <c r="H53" i="6"/>
  <c r="H47" i="6"/>
  <c r="G43" i="6"/>
  <c r="D38" i="6"/>
  <c r="H28" i="6"/>
  <c r="D23" i="6"/>
  <c r="D12" i="6"/>
  <c r="H6" i="6"/>
  <c r="F9" i="6"/>
  <c r="F27" i="6"/>
  <c r="F44" i="6"/>
  <c r="AM134" i="6"/>
  <c r="F41" i="6"/>
  <c r="F45" i="6"/>
  <c r="F26" i="6"/>
  <c r="F21" i="6"/>
  <c r="F31" i="6"/>
  <c r="F19" i="6"/>
  <c r="F12" i="6"/>
  <c r="F15" i="6"/>
  <c r="F7" i="6"/>
  <c r="F18" i="6"/>
  <c r="F33" i="6"/>
  <c r="F11" i="6"/>
  <c r="AM102" i="6"/>
  <c r="J102" i="6" s="1"/>
  <c r="AM120" i="6"/>
  <c r="AM127" i="6"/>
  <c r="AM150" i="6"/>
  <c r="AM88" i="6"/>
  <c r="J88" i="6" s="1"/>
  <c r="AM93" i="6"/>
  <c r="AM89" i="6"/>
  <c r="J89" i="6" s="1"/>
  <c r="AM125" i="6"/>
  <c r="AM74" i="6"/>
  <c r="J74" i="6" s="1"/>
  <c r="AM104" i="6"/>
  <c r="AM118" i="6"/>
  <c r="AM143" i="6"/>
  <c r="AM69" i="6"/>
  <c r="AM109" i="6"/>
  <c r="AM135" i="6"/>
  <c r="AM141" i="6"/>
  <c r="AM67" i="6"/>
  <c r="J67" i="6" s="1"/>
  <c r="AM136" i="6"/>
  <c r="AM128" i="6"/>
  <c r="AM111" i="6"/>
  <c r="AM82" i="6"/>
  <c r="AM76" i="6"/>
  <c r="J76" i="6" s="1"/>
  <c r="AM144" i="6"/>
  <c r="AM131" i="6"/>
  <c r="AM110" i="6"/>
  <c r="AM98" i="6"/>
  <c r="AM91" i="6"/>
  <c r="AM75" i="6"/>
  <c r="AM62" i="6"/>
  <c r="AM6" i="6"/>
  <c r="AM132" i="6"/>
  <c r="AM112" i="6"/>
  <c r="AM64" i="6"/>
  <c r="AM73" i="6"/>
  <c r="J73" i="6" s="1"/>
  <c r="AM96" i="6"/>
  <c r="AM90" i="6"/>
  <c r="J90" i="6" s="1"/>
  <c r="AM97" i="6"/>
  <c r="AM123" i="6"/>
  <c r="AM146" i="6"/>
  <c r="AM119" i="6"/>
  <c r="AM77" i="6"/>
  <c r="AM149" i="6"/>
  <c r="AM116" i="6"/>
  <c r="AM142" i="6"/>
  <c r="AM103" i="6"/>
  <c r="AM68" i="6"/>
  <c r="AM130" i="6"/>
  <c r="AM83" i="6"/>
  <c r="AM61" i="6"/>
  <c r="J61" i="6" s="1"/>
  <c r="AM122" i="6"/>
  <c r="AM145" i="6"/>
  <c r="AM138" i="6"/>
  <c r="AM63" i="6"/>
  <c r="J63" i="6" s="1"/>
  <c r="AM133" i="6"/>
  <c r="AM106" i="6"/>
  <c r="J87" i="6"/>
  <c r="AM71" i="6"/>
  <c r="AM126" i="6"/>
  <c r="AM114" i="6"/>
  <c r="AM94" i="6"/>
  <c r="J94" i="6" s="1"/>
  <c r="AM65" i="6"/>
  <c r="AM108" i="6"/>
  <c r="AM129" i="6"/>
  <c r="AM137" i="6"/>
  <c r="AM117" i="6"/>
  <c r="AM124" i="6"/>
  <c r="AM105" i="6"/>
  <c r="AM99" i="6"/>
  <c r="AM92" i="6"/>
  <c r="AM70" i="6"/>
  <c r="J70" i="6" s="1"/>
  <c r="AM139" i="6"/>
  <c r="AM113" i="6"/>
  <c r="AM100" i="6"/>
  <c r="AM95" i="6"/>
  <c r="AM78" i="6"/>
  <c r="AM140" i="6"/>
  <c r="AM107" i="6"/>
  <c r="AM101" i="6"/>
  <c r="AM84" i="6"/>
  <c r="AM79" i="6"/>
  <c r="AM72" i="6"/>
  <c r="AM66" i="6"/>
  <c r="J66" i="6" s="1"/>
  <c r="AM147" i="6"/>
  <c r="AM148" i="6"/>
  <c r="AM121" i="6"/>
  <c r="AM115" i="6"/>
  <c r="AM81" i="6"/>
  <c r="AM60" i="6"/>
  <c r="J60" i="6" s="1"/>
  <c r="AM59" i="6"/>
  <c r="AM5" i="6"/>
  <c r="F10" i="6"/>
  <c r="J101" i="6" l="1"/>
  <c r="J100" i="6"/>
  <c r="J99" i="6"/>
  <c r="K99" i="6" s="1"/>
  <c r="J98" i="6"/>
  <c r="K98" i="6" s="1"/>
  <c r="J97" i="6"/>
  <c r="K97" i="6" s="1"/>
  <c r="J96" i="6"/>
  <c r="K96" i="6" s="1"/>
  <c r="J95" i="6"/>
  <c r="K95" i="6" s="1"/>
  <c r="K94" i="6"/>
  <c r="M34" i="6"/>
  <c r="M36" i="6"/>
  <c r="M37" i="6"/>
  <c r="M35" i="6"/>
  <c r="J81" i="6"/>
  <c r="K81" i="6" s="1"/>
  <c r="M81" i="6"/>
  <c r="M80" i="6"/>
  <c r="J91" i="6"/>
  <c r="K91" i="6" s="1"/>
  <c r="J93" i="6"/>
  <c r="K93" i="6" s="1"/>
  <c r="J92" i="6"/>
  <c r="K92" i="6" s="1"/>
  <c r="K90" i="6"/>
  <c r="J84" i="6"/>
  <c r="K84" i="6" s="1"/>
  <c r="J86" i="6"/>
  <c r="K86" i="6" s="1"/>
  <c r="J85" i="6"/>
  <c r="K85" i="6" s="1"/>
  <c r="M84" i="6"/>
  <c r="J80" i="6"/>
  <c r="K80" i="6" s="1"/>
  <c r="K87" i="6"/>
  <c r="J83" i="6"/>
  <c r="K83" i="6" s="1"/>
  <c r="J82" i="6"/>
  <c r="K82" i="6" s="1"/>
  <c r="K63" i="6"/>
  <c r="K60" i="6"/>
  <c r="M60" i="6"/>
  <c r="K66" i="6"/>
  <c r="K61" i="6"/>
  <c r="K67" i="6"/>
  <c r="M78" i="6"/>
  <c r="M64" i="6"/>
  <c r="M55" i="6"/>
  <c r="M66" i="6"/>
  <c r="M69" i="6"/>
  <c r="M68" i="6"/>
  <c r="M62" i="6"/>
  <c r="M56" i="6"/>
  <c r="M67" i="6"/>
  <c r="M63" i="6"/>
  <c r="M57" i="6"/>
  <c r="M59" i="6"/>
  <c r="K59" i="6"/>
  <c r="M61" i="6"/>
  <c r="M79" i="6"/>
  <c r="M65" i="6"/>
  <c r="M58" i="6"/>
  <c r="J79" i="6"/>
  <c r="K79" i="6" s="1"/>
  <c r="J77" i="6"/>
  <c r="K77" i="6" s="1"/>
  <c r="J78" i="6"/>
  <c r="K78" i="6" s="1"/>
  <c r="K76" i="6"/>
  <c r="J71" i="6"/>
  <c r="K71" i="6" s="1"/>
  <c r="M12" i="6"/>
  <c r="K73" i="6"/>
  <c r="J72" i="6"/>
  <c r="K72" i="6" s="1"/>
  <c r="K70" i="6"/>
  <c r="J64" i="6"/>
  <c r="K64" i="6" s="1"/>
  <c r="J65" i="6"/>
  <c r="K65" i="6" s="1"/>
  <c r="J68" i="6"/>
  <c r="K68" i="6" s="1"/>
  <c r="J69" i="6"/>
  <c r="K69" i="6" s="1"/>
  <c r="M127" i="6"/>
  <c r="M17" i="6"/>
  <c r="M95" i="6"/>
  <c r="M113" i="6"/>
  <c r="M102" i="6"/>
  <c r="M122" i="6"/>
  <c r="M138" i="6"/>
  <c r="M137" i="6"/>
  <c r="M39" i="6"/>
  <c r="M147" i="6"/>
  <c r="M33" i="6"/>
  <c r="M88" i="6"/>
  <c r="M13" i="6"/>
  <c r="M92" i="6"/>
  <c r="M116" i="6"/>
  <c r="M97" i="6"/>
  <c r="M100" i="6"/>
  <c r="M105" i="6"/>
  <c r="M24" i="6"/>
  <c r="F5" i="6"/>
  <c r="M51" i="6"/>
  <c r="J6" i="6"/>
  <c r="J5" i="6"/>
  <c r="O14" i="7"/>
  <c r="N14" i="7"/>
  <c r="M14" i="7"/>
  <c r="L14" i="7"/>
  <c r="K14" i="7"/>
  <c r="J14" i="7"/>
  <c r="I14" i="7"/>
  <c r="H14" i="7"/>
  <c r="G14" i="7"/>
  <c r="F14" i="7"/>
  <c r="E14" i="7"/>
  <c r="D14" i="7"/>
  <c r="O26" i="7"/>
  <c r="N26" i="7"/>
  <c r="M26" i="7"/>
  <c r="L26" i="7"/>
  <c r="K26" i="7"/>
  <c r="J26" i="7"/>
  <c r="I26" i="7"/>
  <c r="H26" i="7"/>
  <c r="G26" i="7"/>
  <c r="F26" i="7"/>
  <c r="E26" i="7"/>
  <c r="D26" i="7"/>
  <c r="O23" i="7"/>
  <c r="N23" i="7"/>
  <c r="M23" i="7"/>
  <c r="L23" i="7"/>
  <c r="K23" i="7"/>
  <c r="J23" i="7"/>
  <c r="I23" i="7"/>
  <c r="H23" i="7"/>
  <c r="G23" i="7"/>
  <c r="F23" i="7"/>
  <c r="E23" i="7"/>
  <c r="D23" i="7"/>
  <c r="O29" i="7"/>
  <c r="N29" i="7"/>
  <c r="M29" i="7"/>
  <c r="L29" i="7"/>
  <c r="K29" i="7"/>
  <c r="J29" i="7"/>
  <c r="I29" i="7"/>
  <c r="H29" i="7"/>
  <c r="G29" i="7"/>
  <c r="F29" i="7"/>
  <c r="E29" i="7"/>
  <c r="D29" i="7"/>
  <c r="O8" i="7"/>
  <c r="N8" i="7"/>
  <c r="M8" i="7"/>
  <c r="L8" i="7"/>
  <c r="K8" i="7"/>
  <c r="J8" i="7"/>
  <c r="I8" i="7"/>
  <c r="H8" i="7"/>
  <c r="G8" i="7"/>
  <c r="F8" i="7"/>
  <c r="E8" i="7"/>
  <c r="D8" i="7"/>
  <c r="O5" i="7"/>
  <c r="N5" i="7"/>
  <c r="M5" i="7"/>
  <c r="L5" i="7"/>
  <c r="K5" i="7"/>
  <c r="J5" i="7"/>
  <c r="I5" i="7"/>
  <c r="H5" i="7"/>
  <c r="G5" i="7"/>
  <c r="F5" i="7"/>
  <c r="E5" i="7"/>
  <c r="D5" i="7"/>
  <c r="O17" i="7"/>
  <c r="N17" i="7"/>
  <c r="M17" i="7"/>
  <c r="L17" i="7"/>
  <c r="K17" i="7"/>
  <c r="J17" i="7"/>
  <c r="I17" i="7"/>
  <c r="H17" i="7"/>
  <c r="G17" i="7"/>
  <c r="F17" i="7"/>
  <c r="E17" i="7"/>
  <c r="D17" i="7"/>
  <c r="O20" i="7"/>
  <c r="N20" i="7"/>
  <c r="M20" i="7"/>
  <c r="L20" i="7"/>
  <c r="K20" i="7"/>
  <c r="J20" i="7"/>
  <c r="I20" i="7"/>
  <c r="H20" i="7"/>
  <c r="G20" i="7"/>
  <c r="F20" i="7"/>
  <c r="E20" i="7"/>
  <c r="D20" i="7"/>
  <c r="N44" i="9"/>
  <c r="M44" i="9"/>
  <c r="K44" i="9"/>
  <c r="J44" i="9"/>
  <c r="I44" i="9"/>
  <c r="H44" i="9"/>
  <c r="F44" i="9"/>
  <c r="E44" i="9"/>
  <c r="D44" i="9"/>
  <c r="O11" i="7"/>
  <c r="N11" i="7"/>
  <c r="M11" i="7"/>
  <c r="L11" i="7"/>
  <c r="K11" i="7"/>
  <c r="J11" i="7"/>
  <c r="I11" i="7"/>
  <c r="H11" i="7"/>
  <c r="G11" i="7"/>
  <c r="F11" i="7"/>
  <c r="E11" i="7"/>
  <c r="D11" i="7"/>
  <c r="M91" i="6"/>
  <c r="M90" i="6"/>
  <c r="M106" i="6"/>
  <c r="M129" i="6"/>
  <c r="M72" i="6"/>
  <c r="M89" i="6"/>
  <c r="M132" i="6"/>
  <c r="M130" i="6"/>
  <c r="M142" i="6"/>
  <c r="M93" i="6"/>
  <c r="M144" i="6"/>
  <c r="K138" i="6"/>
  <c r="M131" i="6"/>
  <c r="M83" i="6"/>
  <c r="M70" i="6"/>
  <c r="M145" i="6"/>
  <c r="M114" i="6"/>
  <c r="M125" i="6"/>
  <c r="M94" i="6"/>
  <c r="M96" i="6"/>
  <c r="M11" i="6"/>
  <c r="M143" i="6"/>
  <c r="M109" i="6"/>
  <c r="M107" i="6"/>
  <c r="M74" i="6"/>
  <c r="K102" i="6"/>
  <c r="M148" i="6"/>
  <c r="M121" i="6"/>
  <c r="M99" i="6"/>
  <c r="M135" i="6"/>
  <c r="M141" i="6"/>
  <c r="M82" i="6"/>
  <c r="M119" i="6"/>
  <c r="K88" i="6"/>
  <c r="M71" i="6"/>
  <c r="K74" i="6"/>
  <c r="K127" i="6"/>
  <c r="M77" i="6"/>
  <c r="K135" i="6"/>
  <c r="M101" i="6"/>
  <c r="M126" i="6"/>
  <c r="M134" i="6"/>
  <c r="K109" i="6"/>
  <c r="M115" i="6"/>
  <c r="K100" i="6"/>
  <c r="M117" i="6"/>
  <c r="K114" i="6"/>
  <c r="K101" i="6"/>
  <c r="M104" i="6"/>
  <c r="M118" i="6"/>
  <c r="M136" i="6"/>
  <c r="M139" i="6"/>
  <c r="M103" i="6"/>
  <c r="M128" i="6"/>
  <c r="M27" i="6"/>
  <c r="K103" i="6"/>
  <c r="M120" i="6"/>
  <c r="M75" i="6"/>
  <c r="K147" i="6"/>
  <c r="M112" i="6"/>
  <c r="M150" i="6"/>
  <c r="M110" i="6"/>
  <c r="M73" i="6"/>
  <c r="M98" i="6"/>
  <c r="M108" i="6"/>
  <c r="M124" i="6"/>
  <c r="K139" i="6"/>
  <c r="K137" i="6"/>
  <c r="M140" i="6"/>
  <c r="K89" i="6"/>
  <c r="M146" i="6"/>
  <c r="M149" i="6"/>
  <c r="K143" i="6"/>
  <c r="K125" i="6"/>
  <c r="M76" i="6"/>
  <c r="M111" i="6"/>
  <c r="K134" i="6"/>
  <c r="M87" i="6"/>
  <c r="K116" i="6"/>
  <c r="M123" i="6"/>
  <c r="M133" i="6"/>
  <c r="M53" i="6"/>
  <c r="M41" i="6"/>
  <c r="M25" i="6"/>
  <c r="M28" i="6"/>
  <c r="M43" i="6"/>
  <c r="M45" i="6"/>
  <c r="M52" i="6"/>
  <c r="M8" i="6"/>
  <c r="M44" i="6"/>
  <c r="M14" i="6"/>
  <c r="M38" i="6"/>
  <c r="M54" i="6"/>
  <c r="M50" i="6"/>
  <c r="M30" i="6"/>
  <c r="M42" i="6"/>
  <c r="M18" i="6"/>
  <c r="M26" i="6"/>
  <c r="M15" i="6"/>
  <c r="M22" i="6"/>
  <c r="M32" i="6"/>
  <c r="M16" i="6"/>
  <c r="M47" i="6"/>
  <c r="M6" i="6"/>
  <c r="M7" i="6"/>
  <c r="M49" i="6"/>
  <c r="M20" i="6"/>
  <c r="M31" i="6"/>
  <c r="M48" i="6"/>
  <c r="M23" i="6"/>
  <c r="M40" i="6"/>
  <c r="M29" i="6"/>
  <c r="M10" i="6"/>
  <c r="M46" i="6"/>
  <c r="M19" i="6"/>
  <c r="M9" i="6"/>
  <c r="M21" i="6"/>
  <c r="G44" i="9"/>
  <c r="L44" i="9"/>
  <c r="O44" i="9"/>
  <c r="E13" i="9"/>
  <c r="F13" i="9" s="1"/>
  <c r="G13" i="9" s="1"/>
  <c r="H13" i="9" s="1"/>
  <c r="I13" i="9" s="1"/>
  <c r="J13" i="9" s="1"/>
  <c r="K13" i="9" s="1"/>
  <c r="L13" i="9" s="1"/>
  <c r="M13" i="9" s="1"/>
  <c r="N13" i="9" s="1"/>
  <c r="O13" i="9" s="1"/>
  <c r="P13" i="9" s="1"/>
  <c r="P5" i="9"/>
  <c r="AM19" i="6" l="1"/>
  <c r="P35" i="9"/>
  <c r="P44" i="9"/>
  <c r="D33" i="7" l="1"/>
  <c r="E33" i="7"/>
  <c r="F33" i="7"/>
  <c r="G33" i="7"/>
  <c r="H33" i="7"/>
  <c r="I33" i="7"/>
  <c r="J33" i="7"/>
  <c r="K33" i="7"/>
  <c r="L33" i="7"/>
  <c r="M33" i="7"/>
  <c r="N33" i="7"/>
  <c r="O33" i="7"/>
  <c r="I30" i="7"/>
  <c r="H30" i="7"/>
  <c r="G30" i="7"/>
  <c r="F30" i="7"/>
  <c r="E30" i="7"/>
  <c r="D30" i="7"/>
  <c r="I27" i="7"/>
  <c r="H27" i="7"/>
  <c r="G27" i="7"/>
  <c r="F27" i="7"/>
  <c r="E27" i="7"/>
  <c r="D27" i="7"/>
  <c r="O24" i="7"/>
  <c r="I24" i="7"/>
  <c r="H24" i="7"/>
  <c r="G24" i="7"/>
  <c r="F24" i="7"/>
  <c r="E24" i="7"/>
  <c r="D24" i="7"/>
  <c r="J21" i="7"/>
  <c r="I21" i="7"/>
  <c r="H21" i="7"/>
  <c r="G21" i="7"/>
  <c r="E21" i="7"/>
  <c r="D21" i="7"/>
  <c r="J18" i="7"/>
  <c r="I18" i="7"/>
  <c r="H18" i="7"/>
  <c r="G18" i="7"/>
  <c r="F18" i="7"/>
  <c r="E18" i="7"/>
  <c r="D18" i="7"/>
  <c r="O15" i="7"/>
  <c r="N15" i="7"/>
  <c r="H15" i="7"/>
  <c r="G15" i="7"/>
  <c r="F15" i="7"/>
  <c r="E15" i="7"/>
  <c r="D15" i="7"/>
  <c r="J12" i="7"/>
  <c r="H12" i="7"/>
  <c r="G12" i="7"/>
  <c r="F12" i="7"/>
  <c r="E12" i="7"/>
  <c r="D12" i="7"/>
  <c r="E9" i="7"/>
  <c r="F9" i="7"/>
  <c r="O6" i="7"/>
  <c r="G6" i="7"/>
  <c r="D6" i="7"/>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E6" i="7"/>
  <c r="O30" i="7"/>
  <c r="N30" i="7"/>
  <c r="M30" i="7"/>
  <c r="L30" i="7"/>
  <c r="K30" i="7"/>
  <c r="J30" i="7"/>
  <c r="O27" i="7"/>
  <c r="N27" i="7"/>
  <c r="M27" i="7"/>
  <c r="L27" i="7"/>
  <c r="K27" i="7"/>
  <c r="J27" i="7"/>
  <c r="N24" i="7"/>
  <c r="M24" i="7"/>
  <c r="L24" i="7"/>
  <c r="K24" i="7"/>
  <c r="J24" i="7"/>
  <c r="O21" i="7"/>
  <c r="N21" i="7"/>
  <c r="M21" i="7"/>
  <c r="L21" i="7"/>
  <c r="K21" i="7"/>
  <c r="F21" i="7"/>
  <c r="O18" i="7"/>
  <c r="N18" i="7"/>
  <c r="M18" i="7"/>
  <c r="L18" i="7"/>
  <c r="K18" i="7"/>
  <c r="M15" i="7"/>
  <c r="L15" i="7"/>
  <c r="K15" i="7"/>
  <c r="J15" i="7"/>
  <c r="I15" i="7"/>
  <c r="O12" i="7"/>
  <c r="N12" i="7"/>
  <c r="M12" i="7"/>
  <c r="L12" i="7"/>
  <c r="K12" i="7"/>
  <c r="I12" i="7"/>
  <c r="O9" i="7"/>
  <c r="N9" i="7"/>
  <c r="M9" i="7"/>
  <c r="L9" i="7"/>
  <c r="K9" i="7"/>
  <c r="J9" i="7"/>
  <c r="I9" i="7"/>
  <c r="H9" i="7"/>
  <c r="G9" i="7"/>
  <c r="D9" i="7"/>
  <c r="N6" i="7"/>
  <c r="M6" i="7"/>
  <c r="L6" i="7"/>
  <c r="K6" i="7"/>
  <c r="J6" i="7"/>
  <c r="I6" i="7"/>
  <c r="H6" i="7"/>
  <c r="F6" i="7"/>
  <c r="B6" i="6"/>
  <c r="B7" i="6"/>
  <c r="B8" i="6"/>
  <c r="B9" i="6"/>
  <c r="B10" i="6"/>
  <c r="B11" i="6"/>
  <c r="B12" i="6"/>
  <c r="B13" i="6"/>
  <c r="B14" i="6"/>
  <c r="B15" i="6"/>
  <c r="B16" i="6"/>
  <c r="B5" i="6"/>
  <c r="N45" i="9" l="1"/>
  <c r="D45" i="9"/>
  <c r="L45" i="9"/>
  <c r="O45" i="9"/>
  <c r="K45" i="9"/>
  <c r="AM28" i="6"/>
  <c r="O42" i="9"/>
  <c r="N43" i="9"/>
  <c r="H46" i="9"/>
  <c r="M45" i="9"/>
  <c r="H45" i="9"/>
  <c r="E45" i="9"/>
  <c r="M42" i="9"/>
  <c r="E43" i="9"/>
  <c r="O43" i="9"/>
  <c r="N46" i="9"/>
  <c r="J46" i="9"/>
  <c r="H43" i="9"/>
  <c r="L43" i="9"/>
  <c r="L46" i="9"/>
  <c r="I46" i="9"/>
  <c r="J42" i="9"/>
  <c r="I42" i="9"/>
  <c r="H42" i="9"/>
  <c r="G46" i="9"/>
  <c r="G43" i="9"/>
  <c r="K43" i="9"/>
  <c r="F42" i="9"/>
  <c r="L42" i="9"/>
  <c r="I45" i="9"/>
  <c r="J45" i="9"/>
  <c r="E42" i="9"/>
  <c r="K46" i="9"/>
  <c r="F46" i="9"/>
  <c r="K42" i="9"/>
  <c r="J43" i="9"/>
  <c r="N42" i="9"/>
  <c r="E46" i="9"/>
  <c r="G45" i="9"/>
  <c r="M46" i="9"/>
  <c r="F45" i="9"/>
  <c r="F43" i="9"/>
  <c r="M43" i="9"/>
  <c r="I43" i="9"/>
  <c r="O46" i="9"/>
  <c r="G42" i="9"/>
  <c r="AM23" i="6"/>
  <c r="AM54" i="6"/>
  <c r="AM58" i="6"/>
  <c r="J58" i="6" s="1"/>
  <c r="K58" i="6" s="1"/>
  <c r="AM15" i="6"/>
  <c r="AM26" i="6"/>
  <c r="AM12" i="6"/>
  <c r="AM32" i="6"/>
  <c r="AM20" i="6"/>
  <c r="AM7" i="6"/>
  <c r="AM25" i="6"/>
  <c r="AM55" i="6"/>
  <c r="J55" i="6" s="1"/>
  <c r="K55" i="6" s="1"/>
  <c r="AM13" i="6"/>
  <c r="AM46" i="6"/>
  <c r="J46" i="6" s="1"/>
  <c r="AM53" i="6"/>
  <c r="AM31" i="6"/>
  <c r="AM11" i="6"/>
  <c r="AM29" i="6"/>
  <c r="AM42" i="6"/>
  <c r="J42" i="6" s="1"/>
  <c r="AM39" i="6"/>
  <c r="J39" i="6" s="1"/>
  <c r="AM44" i="6"/>
  <c r="AM48" i="6"/>
  <c r="AM27" i="6"/>
  <c r="AM30" i="6"/>
  <c r="AM47" i="6"/>
  <c r="AM41" i="6"/>
  <c r="AM38" i="6"/>
  <c r="J38" i="6" s="1"/>
  <c r="AM22" i="6"/>
  <c r="AM10" i="6"/>
  <c r="J10" i="6" s="1"/>
  <c r="AM57" i="6"/>
  <c r="J57" i="6" s="1"/>
  <c r="K57" i="6" s="1"/>
  <c r="AM49" i="6"/>
  <c r="AM52" i="6"/>
  <c r="J52" i="6" s="1"/>
  <c r="AM14" i="6"/>
  <c r="AM50" i="6"/>
  <c r="AM8" i="6"/>
  <c r="AM21" i="6"/>
  <c r="AM16" i="6"/>
  <c r="AM45" i="6"/>
  <c r="AM56" i="6"/>
  <c r="J56" i="6" s="1"/>
  <c r="K56" i="6" s="1"/>
  <c r="AM33" i="6"/>
  <c r="AM9" i="6"/>
  <c r="J9" i="6" s="1"/>
  <c r="AM43" i="6"/>
  <c r="J43" i="6" s="1"/>
  <c r="AM40" i="6"/>
  <c r="J35" i="6" l="1"/>
  <c r="K35" i="6" s="1"/>
  <c r="J37" i="6"/>
  <c r="K37" i="6" s="1"/>
  <c r="J36" i="6"/>
  <c r="K36" i="6" s="1"/>
  <c r="J34" i="6"/>
  <c r="K34" i="6" s="1"/>
  <c r="J75" i="6"/>
  <c r="K75" i="6" s="1"/>
  <c r="J54" i="6"/>
  <c r="K54" i="6" s="1"/>
  <c r="J62" i="6"/>
  <c r="K62" i="6" s="1"/>
  <c r="J53" i="6"/>
  <c r="K53" i="6" s="1"/>
  <c r="J50" i="6"/>
  <c r="K50" i="6" s="1"/>
  <c r="J51" i="6"/>
  <c r="K51" i="6" s="1"/>
  <c r="K41" i="6"/>
  <c r="K40" i="6"/>
  <c r="J17" i="6"/>
  <c r="K17" i="6" s="1"/>
  <c r="J16" i="6"/>
  <c r="K16" i="6" s="1"/>
  <c r="J22" i="6"/>
  <c r="K22" i="6" s="1"/>
  <c r="J21" i="6"/>
  <c r="K21" i="6" s="1"/>
  <c r="J15" i="6"/>
  <c r="K15" i="6" s="1"/>
  <c r="J14" i="6"/>
  <c r="K14" i="6" s="1"/>
  <c r="J49" i="6"/>
  <c r="K49" i="6" s="1"/>
  <c r="J48" i="6"/>
  <c r="K48" i="6" s="1"/>
  <c r="J47" i="6"/>
  <c r="K47" i="6" s="1"/>
  <c r="J45" i="6"/>
  <c r="K45" i="6" s="1"/>
  <c r="J44" i="6"/>
  <c r="K44" i="6" s="1"/>
  <c r="J13" i="6"/>
  <c r="K13" i="6" s="1"/>
  <c r="J12" i="6"/>
  <c r="K12" i="6" s="1"/>
  <c r="J11" i="6"/>
  <c r="K11" i="6" s="1"/>
  <c r="J33" i="6"/>
  <c r="K33" i="6" s="1"/>
  <c r="J32" i="6"/>
  <c r="K32" i="6" s="1"/>
  <c r="J31" i="6"/>
  <c r="K31" i="6" s="1"/>
  <c r="J27" i="6"/>
  <c r="K27" i="6" s="1"/>
  <c r="J26" i="6"/>
  <c r="K26" i="6" s="1"/>
  <c r="J25" i="6"/>
  <c r="K25" i="6" s="1"/>
  <c r="J8" i="6"/>
  <c r="K8" i="6" s="1"/>
  <c r="J7" i="6"/>
  <c r="K7" i="6" s="1"/>
  <c r="J20" i="6"/>
  <c r="K20" i="6" s="1"/>
  <c r="J19" i="6"/>
  <c r="K19" i="6" s="1"/>
  <c r="J18" i="6"/>
  <c r="K18" i="6" s="1"/>
  <c r="J24" i="6"/>
  <c r="K24" i="6" s="1"/>
  <c r="J23" i="6"/>
  <c r="K23" i="6" s="1"/>
  <c r="J30" i="6"/>
  <c r="K30" i="6" s="1"/>
  <c r="J29" i="6"/>
  <c r="K29" i="6" s="1"/>
  <c r="J28" i="6"/>
  <c r="K28" i="6" s="1"/>
  <c r="K43" i="6"/>
  <c r="K9" i="6"/>
  <c r="K52" i="6"/>
  <c r="K10" i="6"/>
  <c r="K38" i="6"/>
  <c r="K39" i="6"/>
  <c r="K42" i="6"/>
  <c r="K46" i="6"/>
  <c r="K6" i="6"/>
  <c r="L41" i="9"/>
  <c r="L8" i="9" s="1"/>
  <c r="J41" i="9"/>
  <c r="J8" i="9" s="1"/>
  <c r="F41" i="9"/>
  <c r="F8" i="9" s="1"/>
  <c r="E41" i="9"/>
  <c r="E8" i="9" s="1"/>
  <c r="H41" i="9"/>
  <c r="H8" i="9" s="1"/>
  <c r="O41" i="9"/>
  <c r="O8" i="9" s="1"/>
  <c r="O9" i="9" s="1"/>
  <c r="D43" i="9"/>
  <c r="P43" i="9" s="1"/>
  <c r="P34" i="9"/>
  <c r="N41" i="9"/>
  <c r="N8" i="9" s="1"/>
  <c r="P37" i="9"/>
  <c r="D46" i="9"/>
  <c r="P46" i="9" s="1"/>
  <c r="D42" i="9"/>
  <c r="D6" i="9"/>
  <c r="D23" i="9" s="1"/>
  <c r="D24" i="9" s="1"/>
  <c r="P33" i="9"/>
  <c r="O6" i="9"/>
  <c r="O23" i="9" s="1"/>
  <c r="O24" i="9" s="1"/>
  <c r="P45" i="9"/>
  <c r="M41" i="9"/>
  <c r="M8" i="9" s="1"/>
  <c r="G41" i="9"/>
  <c r="G8" i="9" s="1"/>
  <c r="I41" i="9"/>
  <c r="I8" i="9" s="1"/>
  <c r="K41" i="9"/>
  <c r="K8" i="9" s="1"/>
  <c r="P36" i="9"/>
  <c r="O32" i="9"/>
  <c r="L6" i="9"/>
  <c r="L23" i="9" s="1"/>
  <c r="L24" i="9" s="1"/>
  <c r="I32" i="9"/>
  <c r="J32" i="9"/>
  <c r="G6" i="9"/>
  <c r="G23" i="9" s="1"/>
  <c r="G24" i="9" s="1"/>
  <c r="G32" i="9"/>
  <c r="L32" i="9"/>
  <c r="K32" i="9"/>
  <c r="K6" i="9"/>
  <c r="K23" i="9" s="1"/>
  <c r="K24" i="9" s="1"/>
  <c r="I6" i="9"/>
  <c r="I23" i="9" s="1"/>
  <c r="I24" i="9" s="1"/>
  <c r="M32" i="9"/>
  <c r="M6" i="9"/>
  <c r="M23" i="9" s="1"/>
  <c r="M24" i="9" s="1"/>
  <c r="D32" i="9"/>
  <c r="J6" i="9"/>
  <c r="J23" i="9" s="1"/>
  <c r="J24" i="9" s="1"/>
  <c r="E32" i="9"/>
  <c r="E6" i="9"/>
  <c r="E23" i="9" s="1"/>
  <c r="E24" i="9" s="1"/>
  <c r="F6" i="9"/>
  <c r="F23" i="9" s="1"/>
  <c r="F24" i="9" s="1"/>
  <c r="F32" i="9"/>
  <c r="N6" i="9"/>
  <c r="N23" i="9" s="1"/>
  <c r="N24" i="9" s="1"/>
  <c r="N32" i="9"/>
  <c r="H32" i="9"/>
  <c r="H6" i="9"/>
  <c r="H23" i="9" s="1"/>
  <c r="H24" i="9" s="1"/>
  <c r="D41" i="9" l="1"/>
  <c r="P41" i="9" s="1"/>
  <c r="P32" i="9"/>
  <c r="O7" i="9"/>
  <c r="M5" i="6"/>
  <c r="K5" i="6"/>
  <c r="L9" i="9"/>
  <c r="L7" i="9"/>
  <c r="P6" i="9"/>
  <c r="P23" i="9" s="1"/>
  <c r="P24" i="9" s="1"/>
  <c r="P42" i="9"/>
  <c r="J9" i="9"/>
  <c r="J7" i="9"/>
  <c r="M9" i="9"/>
  <c r="M7" i="9"/>
  <c r="I9" i="9"/>
  <c r="I7" i="9"/>
  <c r="H7" i="9"/>
  <c r="H9" i="9"/>
  <c r="K9" i="9"/>
  <c r="K7" i="9"/>
  <c r="F7" i="9"/>
  <c r="F9" i="9"/>
  <c r="D7" i="9"/>
  <c r="D14" i="9"/>
  <c r="N7" i="9"/>
  <c r="N9" i="9"/>
  <c r="E7" i="9"/>
  <c r="E9" i="9"/>
  <c r="G9" i="9"/>
  <c r="G7" i="9"/>
  <c r="D15" i="9" l="1"/>
  <c r="D25" i="9"/>
  <c r="D26" i="9" s="1"/>
  <c r="P7" i="9"/>
  <c r="D8" i="9"/>
  <c r="P8" i="9" s="1"/>
  <c r="P9" i="9" s="1"/>
  <c r="E14" i="9"/>
  <c r="E15" i="9" l="1"/>
  <c r="E25" i="9"/>
  <c r="E26" i="9" s="1"/>
  <c r="D9" i="9"/>
  <c r="D16" i="9"/>
  <c r="D17" i="9" s="1"/>
  <c r="F14" i="9"/>
  <c r="F15" i="9" l="1"/>
  <c r="F25" i="9"/>
  <c r="F26" i="9" s="1"/>
  <c r="E16" i="9"/>
  <c r="E17" i="9" s="1"/>
  <c r="G14" i="9"/>
  <c r="G15" i="9" l="1"/>
  <c r="G25" i="9"/>
  <c r="G26" i="9" s="1"/>
  <c r="F16" i="9"/>
  <c r="G16" i="9" s="1"/>
  <c r="H14" i="9"/>
  <c r="H15" i="9" l="1"/>
  <c r="H25" i="9"/>
  <c r="H26" i="9" s="1"/>
  <c r="F17" i="9"/>
  <c r="I14" i="9"/>
  <c r="G17" i="9"/>
  <c r="H16" i="9"/>
  <c r="I15" i="9" l="1"/>
  <c r="I25" i="9"/>
  <c r="I26" i="9" s="1"/>
  <c r="I16" i="9"/>
  <c r="H17" i="9"/>
  <c r="J14" i="9"/>
  <c r="J15" i="9" l="1"/>
  <c r="J25" i="9"/>
  <c r="J26" i="9" s="1"/>
  <c r="J16" i="9"/>
  <c r="I17" i="9"/>
  <c r="K14" i="9"/>
  <c r="K15" i="9" l="1"/>
  <c r="K25" i="9"/>
  <c r="K26" i="9" s="1"/>
  <c r="L14" i="9"/>
  <c r="J17" i="9"/>
  <c r="K16" i="9"/>
  <c r="L15" i="9" l="1"/>
  <c r="L25" i="9"/>
  <c r="L26" i="9" s="1"/>
  <c r="K17" i="9"/>
  <c r="L16" i="9"/>
  <c r="M14" i="9"/>
  <c r="M15" i="9" l="1"/>
  <c r="M25" i="9"/>
  <c r="M26" i="9" s="1"/>
  <c r="M16" i="9"/>
  <c r="L17" i="9"/>
  <c r="N14" i="9"/>
  <c r="N15" i="9" l="1"/>
  <c r="N25" i="9"/>
  <c r="N26" i="9" s="1"/>
  <c r="O14" i="9"/>
  <c r="N16" i="9"/>
  <c r="M17" i="9"/>
  <c r="O15" i="9" l="1"/>
  <c r="O25" i="9"/>
  <c r="O26" i="9" s="1"/>
  <c r="N17" i="9"/>
  <c r="O16" i="9"/>
  <c r="P14" i="9"/>
  <c r="P15" i="9" l="1"/>
  <c r="P25" i="9"/>
  <c r="P26" i="9" s="1"/>
  <c r="P16" i="9"/>
  <c r="P17" i="9" s="1"/>
  <c r="O17" i="9"/>
  <c r="M25" i="11"/>
</calcChain>
</file>

<file path=xl/sharedStrings.xml><?xml version="1.0" encoding="utf-8"?>
<sst xmlns="http://schemas.openxmlformats.org/spreadsheetml/2006/main" count="1610" uniqueCount="547">
  <si>
    <t>◆各メンバーCH（成立＋確度A）</t>
    <rPh sb="1" eb="2">
      <t>カク</t>
    </rPh>
    <rPh sb="9" eb="11">
      <t>セイリツ</t>
    </rPh>
    <rPh sb="12" eb="14">
      <t>カクド</t>
    </rPh>
    <phoneticPr fontId="3"/>
  </si>
  <si>
    <t>9月</t>
    <rPh sb="1" eb="2">
      <t>ガツ</t>
    </rPh>
    <phoneticPr fontId="8"/>
  </si>
  <si>
    <t>10月</t>
    <rPh sb="2" eb="3">
      <t>ガツ</t>
    </rPh>
    <phoneticPr fontId="8"/>
  </si>
  <si>
    <t>11月</t>
    <rPh sb="2" eb="3">
      <t>ガツ</t>
    </rPh>
    <phoneticPr fontId="8"/>
  </si>
  <si>
    <t>12月</t>
    <rPh sb="2" eb="3">
      <t>ガツ</t>
    </rPh>
    <phoneticPr fontId="8"/>
  </si>
  <si>
    <t>1月</t>
    <rPh sb="1" eb="2">
      <t>ガツ</t>
    </rPh>
    <phoneticPr fontId="8"/>
  </si>
  <si>
    <t>2月</t>
  </si>
  <si>
    <t>3月</t>
  </si>
  <si>
    <t>4月</t>
  </si>
  <si>
    <t>5月</t>
  </si>
  <si>
    <t>6月</t>
  </si>
  <si>
    <t>7月</t>
  </si>
  <si>
    <t>8月</t>
  </si>
  <si>
    <t>波多野</t>
    <rPh sb="0" eb="3">
      <t>ハタノ</t>
    </rPh>
    <phoneticPr fontId="8"/>
  </si>
  <si>
    <t>①目標</t>
    <rPh sb="1" eb="3">
      <t>モクヒョウ</t>
    </rPh>
    <phoneticPr fontId="8"/>
  </si>
  <si>
    <t>②見積</t>
    <rPh sb="1" eb="3">
      <t>ミツモリ</t>
    </rPh>
    <phoneticPr fontId="8"/>
  </si>
  <si>
    <t>③GAP（②-①）</t>
    <phoneticPr fontId="8"/>
  </si>
  <si>
    <t>小川</t>
    <rPh sb="0" eb="2">
      <t>オガワ</t>
    </rPh>
    <phoneticPr fontId="8"/>
  </si>
  <si>
    <t>啓亮</t>
    <rPh sb="0" eb="1">
      <t>ケイ</t>
    </rPh>
    <rPh sb="1" eb="2">
      <t>スケ</t>
    </rPh>
    <phoneticPr fontId="8"/>
  </si>
  <si>
    <t>友祐</t>
    <rPh sb="0" eb="2">
      <t>ユウスケ</t>
    </rPh>
    <phoneticPr fontId="8"/>
  </si>
  <si>
    <t>芹澤</t>
    <rPh sb="0" eb="2">
      <t>セリザワ</t>
    </rPh>
    <phoneticPr fontId="8"/>
  </si>
  <si>
    <t>弓本</t>
    <rPh sb="0" eb="2">
      <t>ユミモト</t>
    </rPh>
    <phoneticPr fontId="8"/>
  </si>
  <si>
    <t>丸田</t>
    <rPh sb="0" eb="2">
      <t>マルタ</t>
    </rPh>
    <phoneticPr fontId="8"/>
  </si>
  <si>
    <t>加藤</t>
    <rPh sb="0" eb="2">
      <t>カトウ</t>
    </rPh>
    <phoneticPr fontId="8"/>
  </si>
  <si>
    <t>古藤</t>
    <rPh sb="0" eb="2">
      <t>コトウ</t>
    </rPh>
    <phoneticPr fontId="8"/>
  </si>
  <si>
    <t>小野寺</t>
    <rPh sb="0" eb="3">
      <t>オノデラ</t>
    </rPh>
    <phoneticPr fontId="8"/>
  </si>
  <si>
    <t>＜単月実績（千円）＞</t>
    <rPh sb="1" eb="3">
      <t>タンゲツ</t>
    </rPh>
    <rPh sb="3" eb="5">
      <t>ジッセキ</t>
    </rPh>
    <rPh sb="6" eb="8">
      <t>センエン</t>
    </rPh>
    <phoneticPr fontId="8"/>
  </si>
  <si>
    <t>合計</t>
    <rPh sb="0" eb="2">
      <t>ゴウケイ</t>
    </rPh>
    <phoneticPr fontId="8"/>
  </si>
  <si>
    <t>成立＋A</t>
    <rPh sb="0" eb="2">
      <t>セイリツ</t>
    </rPh>
    <phoneticPr fontId="8"/>
  </si>
  <si>
    <t>②実績</t>
    <rPh sb="1" eb="3">
      <t>ジッセキ</t>
    </rPh>
    <phoneticPr fontId="8"/>
  </si>
  <si>
    <t>確度換算</t>
    <rPh sb="0" eb="4">
      <t>カクドカンサン</t>
    </rPh>
    <phoneticPr fontId="8"/>
  </si>
  <si>
    <t>④実績</t>
    <rPh sb="1" eb="3">
      <t>ジッセキ</t>
    </rPh>
    <phoneticPr fontId="8"/>
  </si>
  <si>
    <t>⑤GAP（④-①）</t>
    <phoneticPr fontId="8"/>
  </si>
  <si>
    <t>＜累積実績（千円）＞</t>
    <rPh sb="1" eb="3">
      <t>ルイセキ</t>
    </rPh>
    <rPh sb="3" eb="5">
      <t>ジッセキ</t>
    </rPh>
    <rPh sb="6" eb="8">
      <t>センエン</t>
    </rPh>
    <phoneticPr fontId="8"/>
  </si>
  <si>
    <t>＜対前年度比較：成立＋A＞</t>
    <rPh sb="1" eb="2">
      <t>タイ</t>
    </rPh>
    <rPh sb="2" eb="5">
      <t>ゼンネンド</t>
    </rPh>
    <rPh sb="5" eb="7">
      <t>ヒカク</t>
    </rPh>
    <rPh sb="8" eb="10">
      <t>セイリツ</t>
    </rPh>
    <phoneticPr fontId="8"/>
  </si>
  <si>
    <t>8期実績</t>
    <rPh sb="1" eb="2">
      <t>キ</t>
    </rPh>
    <rPh sb="2" eb="4">
      <t>ジッセキ</t>
    </rPh>
    <phoneticPr fontId="3"/>
  </si>
  <si>
    <t>①8期売上（単月）</t>
    <rPh sb="2" eb="3">
      <t>キ</t>
    </rPh>
    <rPh sb="3" eb="5">
      <t>ウリアゲ</t>
    </rPh>
    <rPh sb="6" eb="8">
      <t>タンゲツ</t>
    </rPh>
    <phoneticPr fontId="8"/>
  </si>
  <si>
    <t>②8期売上（累積）</t>
    <rPh sb="2" eb="3">
      <t>キ</t>
    </rPh>
    <rPh sb="3" eb="5">
      <t>ウリアゲ</t>
    </rPh>
    <rPh sb="6" eb="8">
      <t>ルイセキ</t>
    </rPh>
    <phoneticPr fontId="8"/>
  </si>
  <si>
    <t>単月</t>
    <rPh sb="0" eb="2">
      <t>タンゲツ</t>
    </rPh>
    <phoneticPr fontId="8"/>
  </si>
  <si>
    <t>③9期実績</t>
    <rPh sb="2" eb="3">
      <t>キ</t>
    </rPh>
    <rPh sb="3" eb="5">
      <t>ジッセキ</t>
    </rPh>
    <phoneticPr fontId="8"/>
  </si>
  <si>
    <t>④GAP（③-①）</t>
    <phoneticPr fontId="8"/>
  </si>
  <si>
    <t>累積</t>
    <rPh sb="0" eb="2">
      <t>ルイセキ</t>
    </rPh>
    <phoneticPr fontId="8"/>
  </si>
  <si>
    <t>⑤9期実績</t>
    <rPh sb="2" eb="3">
      <t>キ</t>
    </rPh>
    <rPh sb="3" eb="5">
      <t>ジッセキ</t>
    </rPh>
    <phoneticPr fontId="8"/>
  </si>
  <si>
    <t>⑥GAP（⑤-①）</t>
    <phoneticPr fontId="8"/>
  </si>
  <si>
    <t>＜確度別金額・単月（千円）＞※換算前</t>
    <rPh sb="1" eb="4">
      <t>カクドベツ</t>
    </rPh>
    <rPh sb="4" eb="6">
      <t>キンガク</t>
    </rPh>
    <rPh sb="7" eb="9">
      <t>タンゲツ</t>
    </rPh>
    <rPh sb="10" eb="12">
      <t>センエン</t>
    </rPh>
    <rPh sb="15" eb="17">
      <t>カンザン</t>
    </rPh>
    <rPh sb="17" eb="18">
      <t>マエ</t>
    </rPh>
    <phoneticPr fontId="8"/>
  </si>
  <si>
    <t>成立</t>
    <rPh sb="0" eb="2">
      <t>セイリツ</t>
    </rPh>
    <phoneticPr fontId="8"/>
  </si>
  <si>
    <t>A</t>
    <phoneticPr fontId="8"/>
  </si>
  <si>
    <t>B</t>
    <phoneticPr fontId="8"/>
  </si>
  <si>
    <t>C</t>
    <phoneticPr fontId="8"/>
  </si>
  <si>
    <t>D</t>
    <phoneticPr fontId="8"/>
  </si>
  <si>
    <t>＜確度別金額・単月（千円）＞※換算後</t>
    <rPh sb="1" eb="4">
      <t>カクドベツ</t>
    </rPh>
    <rPh sb="4" eb="6">
      <t>キンガク</t>
    </rPh>
    <rPh sb="7" eb="9">
      <t>タンゲツ</t>
    </rPh>
    <rPh sb="10" eb="12">
      <t>センエン</t>
    </rPh>
    <rPh sb="15" eb="17">
      <t>カンザン</t>
    </rPh>
    <rPh sb="17" eb="18">
      <t>ゴ</t>
    </rPh>
    <phoneticPr fontId="8"/>
  </si>
  <si>
    <t>確度</t>
  </si>
  <si>
    <t>(複数のアイテム)</t>
  </si>
  <si>
    <t>行ラベル</t>
  </si>
  <si>
    <t>合計 / 9期分</t>
  </si>
  <si>
    <t>合計 / 9月</t>
  </si>
  <si>
    <t>合計 / 10月</t>
  </si>
  <si>
    <t>合計 / 11月</t>
  </si>
  <si>
    <t>合計 / 12月</t>
  </si>
  <si>
    <t>合計 / 1月</t>
  </si>
  <si>
    <t>合計 / 2月</t>
  </si>
  <si>
    <t>合計 / 3月</t>
  </si>
  <si>
    <t>合計 / 4月</t>
  </si>
  <si>
    <t>合計 / 5月</t>
  </si>
  <si>
    <t>合計 / 6月</t>
  </si>
  <si>
    <t>合計 / 7月</t>
  </si>
  <si>
    <t>合計 / 8月</t>
  </si>
  <si>
    <t>01_伊藤ハム米久ホールディングス_エンゲージメント向上PJT</t>
  </si>
  <si>
    <t>02_パラドックス_森の歩き方実装支援</t>
  </si>
  <si>
    <t>03_日本総研_キャリア入社者課題分析</t>
  </si>
  <si>
    <t>05_YAMAGATA_新事業立ち上げ支援</t>
  </si>
  <si>
    <t>07_豊田通商_メタルプラス</t>
  </si>
  <si>
    <t>08_OKI_人材面を主とした組織診断</t>
  </si>
  <si>
    <t>09_宮﨑製鋼_エンゲージメントサーベイ</t>
  </si>
  <si>
    <t>10_オムロンエキスパートエンジニアリング_データ分析</t>
  </si>
  <si>
    <t>11_MSプライマリー_エンゲージメントサーベイ</t>
  </si>
  <si>
    <t>12_アートプレスト_2025年上期人事施策実行支援</t>
  </si>
  <si>
    <t>13_アートプレスト_2025年下期人事施策実行支援</t>
  </si>
  <si>
    <t>14_アートプレスト_経営層候補者向け研修実行支援</t>
  </si>
  <si>
    <t>15_アートプレスト_役員研修</t>
  </si>
  <si>
    <t>16_JALUX_ビジネス変革Community</t>
  </si>
  <si>
    <t>17_JALUX_業務効率化</t>
  </si>
  <si>
    <t>18_パラマウントベッド_管理職WS＆部門幹部ディスカッション</t>
  </si>
  <si>
    <t>19_asics_HRBP支援</t>
  </si>
  <si>
    <t>20_コメダ_FC対応力向上</t>
  </si>
  <si>
    <t>21_ローソンエンタテインメント_人事制度・育成概要設計</t>
  </si>
  <si>
    <t>22_オーネスト_MVV浸透支援Phase3</t>
  </si>
  <si>
    <t>25_パラマウントベッド_女性社員交流会 企画支援</t>
  </si>
  <si>
    <t>29_パラマウントベッド_女性社員交流会 キックオフイベント支援</t>
  </si>
  <si>
    <t>30_パラマウントベッド_女性社員交流会_女性キャリア研修</t>
  </si>
  <si>
    <t>31_パーソルクロステクノロジー_社内広報業務支援</t>
  </si>
  <si>
    <t>33_田島ルーフィング_推せる職場診断</t>
  </si>
  <si>
    <t>36_パラドックス_森の歩き方実装支援（10月以降）</t>
  </si>
  <si>
    <t>40_三井情報_人材マネジメントアドバイザリー</t>
  </si>
  <si>
    <t>総計</t>
  </si>
  <si>
    <t>No</t>
  </si>
  <si>
    <t>クライアント</t>
  </si>
  <si>
    <t>案件</t>
    <rPh sb="0" eb="2">
      <t>アンケン</t>
    </rPh>
    <phoneticPr fontId="2"/>
  </si>
  <si>
    <t>テーマ（分類）</t>
    <rPh sb="4" eb="6">
      <t>ブンルイ</t>
    </rPh>
    <phoneticPr fontId="2"/>
  </si>
  <si>
    <t>流入ルート</t>
    <rPh sb="0" eb="2">
      <t>リュウニュウ</t>
    </rPh>
    <phoneticPr fontId="2"/>
  </si>
  <si>
    <t>金額（万円）</t>
    <rPh sb="0" eb="2">
      <t>キンガク</t>
    </rPh>
    <rPh sb="3" eb="5">
      <t>マンエン</t>
    </rPh>
    <phoneticPr fontId="2"/>
  </si>
  <si>
    <t>期間（月）</t>
    <rPh sb="0" eb="2">
      <t>キカン</t>
    </rPh>
    <rPh sb="3" eb="4">
      <t>ツキ</t>
    </rPh>
    <phoneticPr fontId="2"/>
  </si>
  <si>
    <t>期間補足</t>
    <rPh sb="0" eb="2">
      <t>キカン</t>
    </rPh>
    <rPh sb="2" eb="4">
      <t>ホソク</t>
    </rPh>
    <phoneticPr fontId="3"/>
  </si>
  <si>
    <t>営業担当</t>
    <rPh sb="0" eb="4">
      <t>エイギョウタントウ</t>
    </rPh>
    <phoneticPr fontId="2"/>
  </si>
  <si>
    <t>確度</t>
    <rPh sb="0" eb="2">
      <t>カクド</t>
    </rPh>
    <phoneticPr fontId="2"/>
  </si>
  <si>
    <t>与信新規申請</t>
    <rPh sb="0" eb="2">
      <t>ヨシン</t>
    </rPh>
    <rPh sb="2" eb="4">
      <t>シンキ</t>
    </rPh>
    <rPh sb="4" eb="6">
      <t>シンセイ</t>
    </rPh>
    <phoneticPr fontId="2"/>
  </si>
  <si>
    <t>与信限度額
超過申請</t>
  </si>
  <si>
    <t>MM/DD</t>
    <phoneticPr fontId="3"/>
  </si>
  <si>
    <t>攻略作戦</t>
  </si>
  <si>
    <t>JFEエンジニアリング</t>
  </si>
  <si>
    <t>タレマネ活用</t>
  </si>
  <si>
    <t>⑥人材育成コンサル</t>
    <rPh sb="1" eb="5">
      <t>ジンザイイクセイ</t>
    </rPh>
    <phoneticPr fontId="3"/>
  </si>
  <si>
    <t>HRPトスアップ</t>
  </si>
  <si>
    <t>弓本、小川</t>
  </si>
  <si>
    <t>タレマネツールの導入について、先方DX推進室で候補選定中。別途人事担当者様にアプローチ予定。</t>
    <rPh sb="8" eb="10">
      <t>ドウニュウ</t>
    </rPh>
    <rPh sb="15" eb="17">
      <t>センポウ</t>
    </rPh>
    <rPh sb="19" eb="21">
      <t>スイシン</t>
    </rPh>
    <rPh sb="21" eb="22">
      <t>シツ</t>
    </rPh>
    <rPh sb="23" eb="25">
      <t>コウホ</t>
    </rPh>
    <rPh sb="25" eb="28">
      <t>センテイチュウ</t>
    </rPh>
    <rPh sb="29" eb="31">
      <t>ベット</t>
    </rPh>
    <rPh sb="31" eb="33">
      <t>ジンジ</t>
    </rPh>
    <rPh sb="33" eb="36">
      <t>タントウシャ</t>
    </rPh>
    <rPh sb="36" eb="37">
      <t>サマ</t>
    </rPh>
    <rPh sb="43" eb="45">
      <t>ヨテイ</t>
    </rPh>
    <phoneticPr fontId="3"/>
  </si>
  <si>
    <t>e</t>
    <phoneticPr fontId="3"/>
  </si>
  <si>
    <t>PHCホールディングス</t>
  </si>
  <si>
    <t>オンボーディング環境整備</t>
  </si>
  <si>
    <t>②採用・オンボーディング</t>
  </si>
  <si>
    <t>担当部長を起点に人事担当役員にアプローチ
当面は若手社員の流出防止目的のキャリア研修で信頼関係構築。２年後採用倍増計画に合わせ受け入れ態勢整備の案件を提案（来年４月以降プロジェクト）</t>
  </si>
  <si>
    <t>先方担当（横山様）と小川さんで会話済み。コンサル側はすぐの受注ではなさそう。</t>
  </si>
  <si>
    <t>テプコ・ソリューション・アドバンス</t>
  </si>
  <si>
    <t>MVV浸透</t>
  </si>
  <si>
    <t>⑦その他</t>
    <rPh sb="3" eb="4">
      <t>タ</t>
    </rPh>
    <phoneticPr fontId="3"/>
  </si>
  <si>
    <t>HRPトスアップ（新）</t>
  </si>
  <si>
    <t>小川</t>
  </si>
  <si>
    <t>ユニリタ</t>
  </si>
  <si>
    <t>コメダ</t>
  </si>
  <si>
    <t>大学充実化</t>
  </si>
  <si>
    <t>森田、小川</t>
  </si>
  <si>
    <t>人事担当役員向けに大学のタレマネ機能拡充の提案
館越経由</t>
  </si>
  <si>
    <t>ENEOS</t>
  </si>
  <si>
    <t>マネジメント層強化</t>
  </si>
  <si>
    <t>部長研修の延長線上で、管理職のマネジメント力強化につながる施策として推せる職場づくりを人事担当役員に提案</t>
  </si>
  <si>
    <t>デジタルガレージ</t>
  </si>
  <si>
    <t>人的資本経営</t>
  </si>
  <si>
    <t>HP、セミナー経由</t>
  </si>
  <si>
    <t>メイテック</t>
  </si>
  <si>
    <t>帝人</t>
    <rPh sb="0" eb="2">
      <t>テイジン</t>
    </rPh>
    <phoneticPr fontId="2"/>
  </si>
  <si>
    <t>BeeX</t>
  </si>
  <si>
    <t>キャリアパス設計</t>
    <rPh sb="6" eb="8">
      <t>セッケイ</t>
    </rPh>
    <phoneticPr fontId="8"/>
  </si>
  <si>
    <t>EXPO</t>
  </si>
  <si>
    <t>450～600万円</t>
    <phoneticPr fontId="3"/>
  </si>
  <si>
    <t>小川・啓亮</t>
    <rPh sb="0" eb="2">
      <t>オガワ</t>
    </rPh>
    <rPh sb="3" eb="5">
      <t>ケイスケ</t>
    </rPh>
    <phoneticPr fontId="3"/>
  </si>
  <si>
    <t>D</t>
    <phoneticPr fontId="3"/>
  </si>
  <si>
    <t>他社の事業戦略～人材ポートフォリオの調査及び自社の人材像とあるべき人材ポートフォリオの検討に興味を持っている。先方人事部長のほうで方向性を整理し、再度スコープをすり合わせる打ち合わせを打診する</t>
    <rPh sb="0" eb="2">
      <t>タシャ</t>
    </rPh>
    <rPh sb="3" eb="7">
      <t>ジギョウセンリャク</t>
    </rPh>
    <rPh sb="8" eb="10">
      <t>ジンザイ</t>
    </rPh>
    <rPh sb="18" eb="20">
      <t>チョウサ</t>
    </rPh>
    <rPh sb="20" eb="21">
      <t>オヨ</t>
    </rPh>
    <rPh sb="22" eb="24">
      <t>ジシャ</t>
    </rPh>
    <rPh sb="25" eb="28">
      <t>ジンザイゾウ</t>
    </rPh>
    <rPh sb="33" eb="35">
      <t>ジンザイ</t>
    </rPh>
    <rPh sb="43" eb="45">
      <t>ケントウ</t>
    </rPh>
    <rPh sb="46" eb="48">
      <t>キョウミ</t>
    </rPh>
    <rPh sb="49" eb="50">
      <t>モ</t>
    </rPh>
    <rPh sb="55" eb="57">
      <t>センポウ</t>
    </rPh>
    <rPh sb="57" eb="59">
      <t>ジンジ</t>
    </rPh>
    <rPh sb="59" eb="61">
      <t>ブチョウ</t>
    </rPh>
    <rPh sb="65" eb="68">
      <t>ホウコウセイ</t>
    </rPh>
    <rPh sb="69" eb="71">
      <t>セイリ</t>
    </rPh>
    <rPh sb="73" eb="75">
      <t>サイド</t>
    </rPh>
    <rPh sb="82" eb="83">
      <t>ア</t>
    </rPh>
    <rPh sb="86" eb="87">
      <t>ウ</t>
    </rPh>
    <rPh sb="88" eb="89">
      <t>ア</t>
    </rPh>
    <rPh sb="92" eb="94">
      <t>ダシン</t>
    </rPh>
    <phoneticPr fontId="3"/>
  </si>
  <si>
    <t>8/29先方人事部長・マネージャーと打ち合わせ予定</t>
    <phoneticPr fontId="3"/>
  </si>
  <si>
    <t>千葉県</t>
    <rPh sb="0" eb="3">
      <t>チバケン</t>
    </rPh>
    <phoneticPr fontId="2"/>
  </si>
  <si>
    <t>サーベイ活用</t>
  </si>
  <si>
    <t>啓亮、小川</t>
  </si>
  <si>
    <t>イオン</t>
  </si>
  <si>
    <t>安部日鋼工業</t>
    <rPh sb="0" eb="2">
      <t>アベ</t>
    </rPh>
    <rPh sb="2" eb="3">
      <t>ニチ</t>
    </rPh>
    <rPh sb="3" eb="4">
      <t>コウ</t>
    </rPh>
    <rPh sb="4" eb="6">
      <t>コウギョウ</t>
    </rPh>
    <phoneticPr fontId="2"/>
  </si>
  <si>
    <t>経営WS</t>
  </si>
  <si>
    <t>SUBARU</t>
  </si>
  <si>
    <t>タレマネ</t>
  </si>
  <si>
    <t>安田工業</t>
    <rPh sb="0" eb="4">
      <t>ヤスダコウギョウ</t>
    </rPh>
    <phoneticPr fontId="2"/>
  </si>
  <si>
    <t>推せる職場づくり</t>
  </si>
  <si>
    <t>①推せる職場づくり</t>
    <rPh sb="1" eb="2">
      <t>オ</t>
    </rPh>
    <rPh sb="4" eb="6">
      <t>ショクバ</t>
    </rPh>
    <phoneticPr fontId="3"/>
  </si>
  <si>
    <t>エンゲージメント向上にむけた３か年計画を伴走支援
人事部長⇒社長の説得を支援</t>
  </si>
  <si>
    <t>先方とは2回接点を持っており、先方希望の資料を提供済み。池本くんで状況確認中。</t>
    <rPh sb="0" eb="2">
      <t>センポウ</t>
    </rPh>
    <rPh sb="5" eb="6">
      <t>カイ</t>
    </rPh>
    <rPh sb="6" eb="8">
      <t>セッテン</t>
    </rPh>
    <rPh sb="9" eb="10">
      <t>モ</t>
    </rPh>
    <rPh sb="15" eb="17">
      <t>センポウ</t>
    </rPh>
    <rPh sb="17" eb="19">
      <t>キボウ</t>
    </rPh>
    <rPh sb="20" eb="22">
      <t>シリョウ</t>
    </rPh>
    <rPh sb="23" eb="25">
      <t>テイキョウ</t>
    </rPh>
    <rPh sb="25" eb="26">
      <t>ズ</t>
    </rPh>
    <rPh sb="28" eb="30">
      <t>イケモト</t>
    </rPh>
    <rPh sb="33" eb="37">
      <t>ジョウキョウカクニン</t>
    </rPh>
    <rPh sb="37" eb="38">
      <t>チュウ</t>
    </rPh>
    <phoneticPr fontId="3"/>
  </si>
  <si>
    <t>西武HD</t>
    <rPh sb="0" eb="2">
      <t>セイブ</t>
    </rPh>
    <phoneticPr fontId="2"/>
  </si>
  <si>
    <t>オンボーディング</t>
  </si>
  <si>
    <t>弓本</t>
  </si>
  <si>
    <t>C</t>
  </si>
  <si>
    <t>キューピー</t>
  </si>
  <si>
    <t>サラヤ</t>
  </si>
  <si>
    <t>昭和産業</t>
    <rPh sb="0" eb="2">
      <t>ショウワ</t>
    </rPh>
    <rPh sb="2" eb="4">
      <t>サンギョウ</t>
    </rPh>
    <phoneticPr fontId="2"/>
  </si>
  <si>
    <t>三菱UFJニコス</t>
    <rPh sb="0" eb="2">
      <t>ミツビシ</t>
    </rPh>
    <phoneticPr fontId="2"/>
  </si>
  <si>
    <t>育成方針策定</t>
  </si>
  <si>
    <t>アサヒクオリティアンドイノベーションズ</t>
  </si>
  <si>
    <t>スキルマップ</t>
  </si>
  <si>
    <t>WHI経由</t>
  </si>
  <si>
    <t>オーネスト</t>
  </si>
  <si>
    <t>評価制度設計</t>
  </si>
  <si>
    <t>⑤人事制度改革</t>
    <rPh sb="1" eb="5">
      <t>ジンジセイド</t>
    </rPh>
    <rPh sb="5" eb="7">
      <t>カイカク</t>
    </rPh>
    <phoneticPr fontId="3"/>
  </si>
  <si>
    <t>クロス</t>
  </si>
  <si>
    <t>クレオテック</t>
  </si>
  <si>
    <t>キャリア形成支援</t>
  </si>
  <si>
    <t>インテージテクノスフィア</t>
  </si>
  <si>
    <t>感謝会に参加後、PANAIサーベイのトライアルと先方から懇親会希望の連絡あり。</t>
    <rPh sb="0" eb="2">
      <t>カンシャ</t>
    </rPh>
    <rPh sb="2" eb="3">
      <t>カイ</t>
    </rPh>
    <rPh sb="4" eb="6">
      <t>サンカ</t>
    </rPh>
    <rPh sb="6" eb="7">
      <t>ゴ</t>
    </rPh>
    <rPh sb="24" eb="26">
      <t>センポウ</t>
    </rPh>
    <rPh sb="28" eb="31">
      <t>コンシンカイ</t>
    </rPh>
    <rPh sb="31" eb="33">
      <t>キボウ</t>
    </rPh>
    <rPh sb="34" eb="36">
      <t>レンラク</t>
    </rPh>
    <phoneticPr fontId="3"/>
  </si>
  <si>
    <t>兼松</t>
  </si>
  <si>
    <t>育成体系整備</t>
  </si>
  <si>
    <t>オムロンエキスパートエンジニアリング</t>
  </si>
  <si>
    <t>エンゲージメントサーベイ</t>
    <phoneticPr fontId="8"/>
  </si>
  <si>
    <t>カオナビ</t>
  </si>
  <si>
    <t>100～250万</t>
    <rPh sb="7" eb="8">
      <t>マン</t>
    </rPh>
    <phoneticPr fontId="3"/>
  </si>
  <si>
    <t>202510～12末</t>
    <phoneticPr fontId="3"/>
  </si>
  <si>
    <t>芹澤</t>
    <rPh sb="0" eb="2">
      <t>セリザワ</t>
    </rPh>
    <phoneticPr fontId="3"/>
  </si>
  <si>
    <t>提案書・追加資料提出済み。当社でほぼ確定のご連絡を頂いた。</t>
    <phoneticPr fontId="3"/>
  </si>
  <si>
    <t>北九州市役所</t>
    <rPh sb="0" eb="6">
      <t>キタキュウシュウシヤクショ</t>
    </rPh>
    <phoneticPr fontId="2"/>
  </si>
  <si>
    <t>200万円</t>
    <rPh sb="3" eb="5">
      <t>マンエン</t>
    </rPh>
    <phoneticPr fontId="3"/>
  </si>
  <si>
    <t>啓亮</t>
    <rPh sb="0" eb="2">
      <t>ケイスケ</t>
    </rPh>
    <phoneticPr fontId="3"/>
  </si>
  <si>
    <t>サーベイ分析＆動画・ガイド作成＆研修設計・実施で400万円（4か月）。提案・契約工数と金額が見合わないため辞退</t>
    <rPh sb="4" eb="6">
      <t>ブンセキ</t>
    </rPh>
    <rPh sb="7" eb="9">
      <t>ドウガ</t>
    </rPh>
    <rPh sb="13" eb="15">
      <t>サクセイ</t>
    </rPh>
    <rPh sb="16" eb="18">
      <t>ケンシュウ</t>
    </rPh>
    <rPh sb="18" eb="20">
      <t>セッケイ</t>
    </rPh>
    <rPh sb="21" eb="23">
      <t>ジッシ</t>
    </rPh>
    <rPh sb="27" eb="29">
      <t>マンエン</t>
    </rPh>
    <rPh sb="32" eb="33">
      <t>ゲツ</t>
    </rPh>
    <rPh sb="35" eb="37">
      <t>テイアン</t>
    </rPh>
    <rPh sb="38" eb="40">
      <t>ケイヤク</t>
    </rPh>
    <rPh sb="40" eb="42">
      <t>コウスウ</t>
    </rPh>
    <rPh sb="43" eb="45">
      <t>キンガク</t>
    </rPh>
    <rPh sb="46" eb="48">
      <t>ミア</t>
    </rPh>
    <rPh sb="53" eb="55">
      <t>ジタイ</t>
    </rPh>
    <phoneticPr fontId="3"/>
  </si>
  <si>
    <t>10月中旬に公告予定</t>
    <rPh sb="2" eb="5">
      <t>ガツチュウジュン</t>
    </rPh>
    <rPh sb="6" eb="8">
      <t>コウコク</t>
    </rPh>
    <rPh sb="8" eb="10">
      <t>ヨテイ</t>
    </rPh>
    <phoneticPr fontId="3"/>
  </si>
  <si>
    <t>エンゲージメントサーベイの簡易分析と説明用動画作成で200万円程度。入札参加資格獲得の工数や公共提案の工数を踏まえた際に、やるべきかどうか相談</t>
    <rPh sb="13" eb="17">
      <t>カンイブンセキ</t>
    </rPh>
    <rPh sb="18" eb="25">
      <t>セツメイヨウドウガサクセイ</t>
    </rPh>
    <rPh sb="29" eb="33">
      <t>マンエンテイド</t>
    </rPh>
    <rPh sb="34" eb="40">
      <t>ニュウサツサンカシカク</t>
    </rPh>
    <rPh sb="40" eb="42">
      <t>カクトク</t>
    </rPh>
    <rPh sb="43" eb="45">
      <t>コウスウ</t>
    </rPh>
    <rPh sb="46" eb="50">
      <t>コウキョウテイアン</t>
    </rPh>
    <rPh sb="51" eb="53">
      <t>コウスウ</t>
    </rPh>
    <rPh sb="54" eb="55">
      <t>フ</t>
    </rPh>
    <rPh sb="58" eb="59">
      <t>サイ</t>
    </rPh>
    <rPh sb="69" eb="71">
      <t>ソウダン</t>
    </rPh>
    <phoneticPr fontId="3"/>
  </si>
  <si>
    <t>社会医療法人友愛会</t>
  </si>
  <si>
    <t>水戸済生会総合病院</t>
  </si>
  <si>
    <t>日本毛織</t>
    <rPh sb="0" eb="4">
      <t>ニホンケオリ</t>
    </rPh>
    <phoneticPr fontId="2"/>
  </si>
  <si>
    <t>人事院</t>
  </si>
  <si>
    <t>キャリア形成支援、オンボーディング</t>
  </si>
  <si>
    <t>250万円　※来年度</t>
    <rPh sb="3" eb="5">
      <t>マンエン</t>
    </rPh>
    <rPh sb="7" eb="10">
      <t>ライネンド</t>
    </rPh>
    <phoneticPr fontId="3"/>
  </si>
  <si>
    <t>東京消防庁</t>
  </si>
  <si>
    <t>アイシン</t>
  </si>
  <si>
    <t>森田</t>
  </si>
  <si>
    <t>アントステラ</t>
  </si>
  <si>
    <t>人材戦略アドバイザリー</t>
  </si>
  <si>
    <t>ひらまつ</t>
  </si>
  <si>
    <t>キャリアパス＆育成体系</t>
    <rPh sb="7" eb="11">
      <t>イクセイタイケイ</t>
    </rPh>
    <phoneticPr fontId="8"/>
  </si>
  <si>
    <t>紹介（パラドックス）</t>
    <rPh sb="0" eb="2">
      <t>ショウカイ</t>
    </rPh>
    <phoneticPr fontId="8"/>
  </si>
  <si>
    <t>1200万円</t>
    <phoneticPr fontId="3"/>
  </si>
  <si>
    <t>10月～3月</t>
    <phoneticPr fontId="3"/>
  </si>
  <si>
    <t>パラドックス高田さんとCOOの方で11月までにスコープを定めるとのこと。スタートするとしても12月以降となりそう。</t>
    <rPh sb="6" eb="8">
      <t>タカダ</t>
    </rPh>
    <rPh sb="15" eb="16">
      <t>ホウ</t>
    </rPh>
    <rPh sb="19" eb="20">
      <t>ガツ</t>
    </rPh>
    <rPh sb="28" eb="29">
      <t>サダ</t>
    </rPh>
    <rPh sb="48" eb="51">
      <t>ガツイコウ</t>
    </rPh>
    <phoneticPr fontId="3"/>
  </si>
  <si>
    <t>今週中に連絡なければ、来週頭に一度連絡</t>
    <rPh sb="0" eb="3">
      <t>コンシュウチュウ</t>
    </rPh>
    <rPh sb="4" eb="6">
      <t>レンラク</t>
    </rPh>
    <rPh sb="11" eb="14">
      <t>ライシュウアタマ</t>
    </rPh>
    <rPh sb="15" eb="17">
      <t>イチド</t>
    </rPh>
    <rPh sb="17" eb="19">
      <t>レンラク</t>
    </rPh>
    <phoneticPr fontId="3"/>
  </si>
  <si>
    <t>パラドックス担当→COOへ提案書展開。ひきつづきパラドックス担当と連携して進める</t>
    <rPh sb="6" eb="8">
      <t>タントウ</t>
    </rPh>
    <rPh sb="13" eb="16">
      <t>テイアンショ</t>
    </rPh>
    <rPh sb="16" eb="18">
      <t>テンカイ</t>
    </rPh>
    <rPh sb="30" eb="32">
      <t>タントウ</t>
    </rPh>
    <rPh sb="33" eb="35">
      <t>レンケイ</t>
    </rPh>
    <rPh sb="37" eb="38">
      <t>スス</t>
    </rPh>
    <phoneticPr fontId="3"/>
  </si>
  <si>
    <t>8/29パラドックスと提案内容すり合わせMTG→9/5先方現地訪問予定</t>
    <phoneticPr fontId="3"/>
  </si>
  <si>
    <t>アールビーコントロールズ</t>
  </si>
  <si>
    <t>アルプスアルパイン</t>
  </si>
  <si>
    <t>デンソーソリューション</t>
  </si>
  <si>
    <t>ブラザー工業</t>
  </si>
  <si>
    <t>三井情報</t>
  </si>
  <si>
    <t>11月～3月</t>
    <rPh sb="2" eb="3">
      <t>ガツ</t>
    </rPh>
    <rPh sb="5" eb="6">
      <t>ガツ</t>
    </rPh>
    <phoneticPr fontId="3"/>
  </si>
  <si>
    <t>小川、啓亮</t>
    <rPh sb="3" eb="5">
      <t>ケイスケ</t>
    </rPh>
    <phoneticPr fontId="3"/>
  </si>
  <si>
    <t>A</t>
  </si>
  <si>
    <t>受注</t>
    <rPh sb="0" eb="2">
      <t>ジュチュウ</t>
    </rPh>
    <phoneticPr fontId="3"/>
  </si>
  <si>
    <t>16日に打ち合わせ。既にNEWONEに依頼する意向であり、16日はその条件のすり合わせ。オンボーディングや室長の役割・業務定義などに関するアドバイザリー。</t>
    <rPh sb="2" eb="3">
      <t>ニチ</t>
    </rPh>
    <rPh sb="4" eb="5">
      <t>ウ</t>
    </rPh>
    <rPh sb="6" eb="7">
      <t>ア</t>
    </rPh>
    <rPh sb="10" eb="11">
      <t>スデ</t>
    </rPh>
    <rPh sb="19" eb="21">
      <t>イライ</t>
    </rPh>
    <rPh sb="23" eb="25">
      <t>イコウ</t>
    </rPh>
    <rPh sb="31" eb="32">
      <t>ニチ</t>
    </rPh>
    <rPh sb="35" eb="37">
      <t>ジョウケン</t>
    </rPh>
    <rPh sb="40" eb="41">
      <t>ア</t>
    </rPh>
    <rPh sb="53" eb="55">
      <t>シツチョウ</t>
    </rPh>
    <rPh sb="56" eb="58">
      <t>ヤクワリ</t>
    </rPh>
    <rPh sb="59" eb="63">
      <t>ギョウムテイギ</t>
    </rPh>
    <rPh sb="66" eb="67">
      <t>カン</t>
    </rPh>
    <phoneticPr fontId="3"/>
  </si>
  <si>
    <t>スマートドライブ</t>
  </si>
  <si>
    <t>人材戦略</t>
  </si>
  <si>
    <t>アトラエ紹介</t>
  </si>
  <si>
    <t>CHROとコンタクト中
経営メンバーのWSを提案。人事戦略の方向性を合意形成し、それを踏まえた各種人事施策の実行支援を実施</t>
  </si>
  <si>
    <t>エレメントルール</t>
  </si>
  <si>
    <t>朝日生命</t>
    <rPh sb="0" eb="4">
      <t>アサヒセイメイ</t>
    </rPh>
    <phoneticPr fontId="8"/>
  </si>
  <si>
    <t>エンゲージメント向上</t>
    <rPh sb="8" eb="10">
      <t>コウジョウ</t>
    </rPh>
    <phoneticPr fontId="8"/>
  </si>
  <si>
    <t>10/30に企業内大学に関する打ち合わせ予定</t>
    <rPh sb="6" eb="11">
      <t>キギョウナイダイガク</t>
    </rPh>
    <rPh sb="12" eb="13">
      <t>カン</t>
    </rPh>
    <rPh sb="15" eb="16">
      <t>ウ</t>
    </rPh>
    <rPh sb="17" eb="18">
      <t>ア</t>
    </rPh>
    <rPh sb="20" eb="22">
      <t>ヨテイ</t>
    </rPh>
    <phoneticPr fontId="3"/>
  </si>
  <si>
    <t>10/8オンライン打ち合わせ予定。情報提供後、当分動かなさそうであればHRPに任せる</t>
    <rPh sb="9" eb="10">
      <t>ウ</t>
    </rPh>
    <rPh sb="11" eb="12">
      <t>ア</t>
    </rPh>
    <rPh sb="14" eb="16">
      <t>ヨテイ</t>
    </rPh>
    <rPh sb="17" eb="22">
      <t>ジョウホウテイキョウゴ</t>
    </rPh>
    <rPh sb="23" eb="25">
      <t>トウブン</t>
    </rPh>
    <rPh sb="25" eb="26">
      <t>ウゴ</t>
    </rPh>
    <rPh sb="39" eb="40">
      <t>マカ</t>
    </rPh>
    <phoneticPr fontId="3"/>
  </si>
  <si>
    <t>エンゲージメントサーベイ（Wevox）の更なる分析と課題の特定に関心があるそう。9/2打ち合わせ予定</t>
    <phoneticPr fontId="3"/>
  </si>
  <si>
    <t>伊藤ハム</t>
    <rPh sb="0" eb="2">
      <t>イトウ</t>
    </rPh>
    <phoneticPr fontId="8"/>
  </si>
  <si>
    <t>社長座談会＆エンゲージメント向上伴走支援</t>
    <rPh sb="0" eb="2">
      <t>シャチョウ</t>
    </rPh>
    <rPh sb="2" eb="5">
      <t>ザダンカイ</t>
    </rPh>
    <rPh sb="14" eb="16">
      <t>コウジョウ</t>
    </rPh>
    <rPh sb="16" eb="20">
      <t>バンソウシエン</t>
    </rPh>
    <phoneticPr fontId="8"/>
  </si>
  <si>
    <t>葛西・啓亮</t>
    <phoneticPr fontId="3"/>
  </si>
  <si>
    <t>懇親会セットせねば</t>
    <rPh sb="0" eb="3">
      <t>コンシンカイ</t>
    </rPh>
    <phoneticPr fontId="3"/>
  </si>
  <si>
    <t>懇親会セット</t>
    <rPh sb="0" eb="3">
      <t>コンシンカイ</t>
    </rPh>
    <phoneticPr fontId="3"/>
  </si>
  <si>
    <t>最終報告にて後続施策提案に向けて動いている所。今のところWS系で且つHRPとの連携も見据えているので単価としてはそこまで上がらないか…</t>
    <phoneticPr fontId="3"/>
  </si>
  <si>
    <t>信和HD</t>
    <rPh sb="0" eb="2">
      <t>シンワ</t>
    </rPh>
    <phoneticPr fontId="3"/>
  </si>
  <si>
    <t>昇格試験の設計</t>
    <rPh sb="0" eb="4">
      <t>ショウカクシケン</t>
    </rPh>
    <rPh sb="5" eb="7">
      <t>セッケイ</t>
    </rPh>
    <phoneticPr fontId="3"/>
  </si>
  <si>
    <t>小川・弓本</t>
    <rPh sb="0" eb="2">
      <t>オガワ</t>
    </rPh>
    <rPh sb="3" eb="5">
      <t>ユミモト</t>
    </rPh>
    <phoneticPr fontId="3"/>
  </si>
  <si>
    <t>D</t>
  </si>
  <si>
    <t>9/17に訪問予定。（初回はHRP＆小川さん）</t>
    <rPh sb="5" eb="7">
      <t>ホウモン</t>
    </rPh>
    <rPh sb="7" eb="9">
      <t>ヨテイ</t>
    </rPh>
    <rPh sb="11" eb="13">
      <t>ショカイ</t>
    </rPh>
    <rPh sb="18" eb="20">
      <t>オガワ</t>
    </rPh>
    <phoneticPr fontId="3"/>
  </si>
  <si>
    <t>日清医療食品</t>
  </si>
  <si>
    <t>サーベイ分析</t>
  </si>
  <si>
    <t>経営幹部WS、社長・人事担当役員との相談会を実施中
現場ヒヤリングを調整中。課題仮説を設定し、人的資本経営に向けた会社施策を提案</t>
  </si>
  <si>
    <t>アイジーコンサル</t>
  </si>
  <si>
    <t>シニア活性化</t>
  </si>
  <si>
    <t>DAIKO XTECH</t>
  </si>
  <si>
    <t>福岡国際空港</t>
  </si>
  <si>
    <t>名古屋鉄道</t>
    <rPh sb="0" eb="5">
      <t>ナゴヤテツドウ</t>
    </rPh>
    <phoneticPr fontId="3"/>
  </si>
  <si>
    <t>キャリア支援</t>
    <rPh sb="4" eb="6">
      <t>シエン</t>
    </rPh>
    <phoneticPr fontId="3"/>
  </si>
  <si>
    <t>小川、弓本</t>
    <rPh sb="0" eb="2">
      <t>オガワ</t>
    </rPh>
    <rPh sb="3" eb="5">
      <t>ユミモト</t>
    </rPh>
    <phoneticPr fontId="3"/>
  </si>
  <si>
    <t>N</t>
  </si>
  <si>
    <t>9/12に訪問予定。</t>
    <rPh sb="5" eb="7">
      <t>ホウモン</t>
    </rPh>
    <rPh sb="7" eb="9">
      <t>ヨテイ</t>
    </rPh>
    <phoneticPr fontId="3"/>
  </si>
  <si>
    <t>かんぽ生命</t>
  </si>
  <si>
    <t>育成効果測定</t>
  </si>
  <si>
    <t>ニコンプロダクトサポート</t>
  </si>
  <si>
    <t>人事制度・育成体系</t>
  </si>
  <si>
    <t>レスター</t>
  </si>
  <si>
    <t>ギガプライズ</t>
  </si>
  <si>
    <t>サーベイデータ活用</t>
  </si>
  <si>
    <t>芹澤</t>
  </si>
  <si>
    <t>山星屋</t>
  </si>
  <si>
    <t>日本カストディ銀行</t>
  </si>
  <si>
    <t>パーソルクロステクノロジー</t>
  </si>
  <si>
    <t>社内広報施策支援</t>
  </si>
  <si>
    <t>前職クライアント</t>
  </si>
  <si>
    <t>丸田</t>
  </si>
  <si>
    <t>田島ルーフィング</t>
    <rPh sb="0" eb="2">
      <t>タジマ</t>
    </rPh>
    <phoneticPr fontId="3"/>
  </si>
  <si>
    <t>推せる職場診断</t>
    <rPh sb="0" eb="1">
      <t>オ</t>
    </rPh>
    <rPh sb="3" eb="7">
      <t>ショクバシンダン</t>
    </rPh>
    <phoneticPr fontId="3"/>
  </si>
  <si>
    <t>既存顧客</t>
    <rPh sb="0" eb="4">
      <t>キゾンコキャク</t>
    </rPh>
    <phoneticPr fontId="3"/>
  </si>
  <si>
    <t>成立</t>
    <rPh sb="0" eb="2">
      <t>セイリツ</t>
    </rPh>
    <phoneticPr fontId="3"/>
  </si>
  <si>
    <t>受注・デリバリー中</t>
    <rPh sb="0" eb="2">
      <t>ジュチュウ</t>
    </rPh>
    <rPh sb="8" eb="9">
      <t>チュウ</t>
    </rPh>
    <phoneticPr fontId="3"/>
  </si>
  <si>
    <t>やる前提ではあるが、10月中に正式決定予定</t>
    <rPh sb="2" eb="4">
      <t>ゼンテイ</t>
    </rPh>
    <rPh sb="12" eb="14">
      <t>ガツチュウ</t>
    </rPh>
    <rPh sb="15" eb="21">
      <t>セイシキケッテイヨテイ</t>
    </rPh>
    <phoneticPr fontId="3"/>
  </si>
  <si>
    <t>ファーマライズHD</t>
  </si>
  <si>
    <t>しげる工業</t>
  </si>
  <si>
    <t>昇格制度</t>
  </si>
  <si>
    <t>穴吹ハウジングサービス</t>
  </si>
  <si>
    <t>推せる職場づくり、リテンション</t>
  </si>
  <si>
    <t>ポピンズシッター</t>
    <phoneticPr fontId="3"/>
  </si>
  <si>
    <t>エンゲージメント向上</t>
    <rPh sb="8" eb="10">
      <t>コウジョウ</t>
    </rPh>
    <phoneticPr fontId="3"/>
  </si>
  <si>
    <t>10/7打ち合わせ予定
→業務委託のシッターの定着についての相談。年内に先方でヒアリング＋アンケートをすることに。今後施策設計・実行やアドバイザリーなどで支援ニーズありそう。継続して追いかける。</t>
    <rPh sb="4" eb="5">
      <t>ウ</t>
    </rPh>
    <rPh sb="6" eb="7">
      <t>ア</t>
    </rPh>
    <rPh sb="9" eb="11">
      <t>ヨテイ</t>
    </rPh>
    <rPh sb="13" eb="18">
      <t>ギョウム</t>
    </rPh>
    <rPh sb="23" eb="25">
      <t>テイチャク</t>
    </rPh>
    <rPh sb="30" eb="32">
      <t>ソウダン</t>
    </rPh>
    <rPh sb="33" eb="35">
      <t>ネンナイ</t>
    </rPh>
    <rPh sb="36" eb="38">
      <t>センポウ</t>
    </rPh>
    <rPh sb="57" eb="59">
      <t>コンゴ</t>
    </rPh>
    <rPh sb="59" eb="61">
      <t>シサク</t>
    </rPh>
    <rPh sb="61" eb="63">
      <t>セッケイ</t>
    </rPh>
    <rPh sb="64" eb="66">
      <t>ジッコウ</t>
    </rPh>
    <rPh sb="77" eb="79">
      <t>シエン</t>
    </rPh>
    <rPh sb="87" eb="89">
      <t>ケイゾク</t>
    </rPh>
    <rPh sb="91" eb="92">
      <t>オ</t>
    </rPh>
    <phoneticPr fontId="3"/>
  </si>
  <si>
    <t>中島董商店</t>
    <rPh sb="0" eb="5">
      <t>ナカシマトウショウテン</t>
    </rPh>
    <phoneticPr fontId="3"/>
  </si>
  <si>
    <t>人材像定義～浸透</t>
    <rPh sb="0" eb="3">
      <t>ジンザイゾウ</t>
    </rPh>
    <rPh sb="3" eb="5">
      <t>テイギ</t>
    </rPh>
    <rPh sb="6" eb="8">
      <t>シントウ</t>
    </rPh>
    <phoneticPr fontId="3"/>
  </si>
  <si>
    <t>案件ニーズなし、HRPにナーチャリング任せる</t>
    <rPh sb="0" eb="2">
      <t>アンケン</t>
    </rPh>
    <rPh sb="19" eb="20">
      <t>マカ</t>
    </rPh>
    <phoneticPr fontId="3"/>
  </si>
  <si>
    <t>10/3打ち合わせ。予算がなく、且つ研修以外使う想定が無いとのことで見込み薄。</t>
    <rPh sb="4" eb="5">
      <t>ウ</t>
    </rPh>
    <rPh sb="6" eb="7">
      <t>ア</t>
    </rPh>
    <rPh sb="10" eb="12">
      <t>ヨサン</t>
    </rPh>
    <rPh sb="16" eb="17">
      <t>カ</t>
    </rPh>
    <rPh sb="18" eb="22">
      <t>ケンシュウイガイ</t>
    </rPh>
    <rPh sb="22" eb="23">
      <t>ツカ</t>
    </rPh>
    <rPh sb="24" eb="26">
      <t>ソウテイ</t>
    </rPh>
    <rPh sb="27" eb="28">
      <t>ナ</t>
    </rPh>
    <rPh sb="34" eb="36">
      <t>ミコ</t>
    </rPh>
    <rPh sb="37" eb="38">
      <t>ウス</t>
    </rPh>
    <phoneticPr fontId="3"/>
  </si>
  <si>
    <t>ピアス</t>
    <phoneticPr fontId="3"/>
  </si>
  <si>
    <t>行動指針みたいなものを浸透させるための総合的な施策を提案。次回11/6打ち合わせ予定</t>
    <rPh sb="0" eb="4">
      <t>コウドウシシン</t>
    </rPh>
    <rPh sb="11" eb="13">
      <t>シントウ</t>
    </rPh>
    <rPh sb="19" eb="22">
      <t>ソウゴウテキ</t>
    </rPh>
    <rPh sb="23" eb="25">
      <t>シサク</t>
    </rPh>
    <rPh sb="26" eb="28">
      <t>テイアン</t>
    </rPh>
    <rPh sb="29" eb="31">
      <t>ジカイ</t>
    </rPh>
    <rPh sb="35" eb="36">
      <t>ウ</t>
    </rPh>
    <rPh sb="37" eb="38">
      <t>ア</t>
    </rPh>
    <rPh sb="40" eb="42">
      <t>ヨテイ</t>
    </rPh>
    <phoneticPr fontId="3"/>
  </si>
  <si>
    <t>10/20打ち合わせ予定</t>
    <rPh sb="5" eb="6">
      <t>ウ</t>
    </rPh>
    <rPh sb="7" eb="8">
      <t>ア</t>
    </rPh>
    <rPh sb="10" eb="12">
      <t>ヨテイ</t>
    </rPh>
    <phoneticPr fontId="3"/>
  </si>
  <si>
    <t>本田技術研究所</t>
    <rPh sb="0" eb="2">
      <t>ホンダ</t>
    </rPh>
    <rPh sb="2" eb="7">
      <t>ギジュツケンキュウショ</t>
    </rPh>
    <phoneticPr fontId="3"/>
  </si>
  <si>
    <t>女性研究職の定着支援</t>
    <rPh sb="0" eb="5">
      <t>ジョセイケンキュウショク</t>
    </rPh>
    <rPh sb="6" eb="10">
      <t>テイチャクシエン</t>
    </rPh>
    <phoneticPr fontId="3"/>
  </si>
  <si>
    <t>300万円</t>
    <rPh sb="3" eb="5">
      <t>マンエン</t>
    </rPh>
    <phoneticPr fontId="3"/>
  </si>
  <si>
    <t>失注</t>
    <rPh sb="0" eb="2">
      <t>シッチュウ</t>
    </rPh>
    <phoneticPr fontId="3"/>
  </si>
  <si>
    <t>PROFFITにて提案提出済み。</t>
    <rPh sb="9" eb="14">
      <t>テイアンテイシュツズ</t>
    </rPh>
    <phoneticPr fontId="3"/>
  </si>
  <si>
    <t>PROFFIT案件。10/9までに提案書提出</t>
    <rPh sb="7" eb="9">
      <t>アンケン</t>
    </rPh>
    <rPh sb="17" eb="20">
      <t>テイアンショ</t>
    </rPh>
    <rPh sb="20" eb="22">
      <t>テイシュツ</t>
    </rPh>
    <phoneticPr fontId="3"/>
  </si>
  <si>
    <t>荏原製作所</t>
    <rPh sb="0" eb="5">
      <t>エバラセイサクショ</t>
    </rPh>
    <phoneticPr fontId="3"/>
  </si>
  <si>
    <t>企業内大学</t>
    <rPh sb="0" eb="5">
      <t>キギョウナイダイガク</t>
    </rPh>
    <phoneticPr fontId="3"/>
  </si>
  <si>
    <t>HRPトスアップ</t>
    <phoneticPr fontId="3"/>
  </si>
  <si>
    <t>小川・啓亮</t>
    <rPh sb="3" eb="5">
      <t>ケイスケ</t>
    </rPh>
    <phoneticPr fontId="3"/>
  </si>
  <si>
    <t>情報収集メインで案件化のにおいが薄い…</t>
    <rPh sb="0" eb="4">
      <t>ジョウホウシュウシュウ</t>
    </rPh>
    <rPh sb="8" eb="11">
      <t>アンケンカ</t>
    </rPh>
    <rPh sb="16" eb="17">
      <t>ウス</t>
    </rPh>
    <phoneticPr fontId="3"/>
  </si>
  <si>
    <t>先週打ち合わせ済み。26年4月の制度リリースへ向けて引き続きディスカッション。しかし、先方の中でまだ正式にPJT化していないとのことで外部委託の予算をどれだけもっているか怪しい。先方は外部を使う必要性を感じているので、一緒に予算を獲得できる様進めていく。</t>
    <rPh sb="0" eb="3">
      <t>センシュウウ</t>
    </rPh>
    <rPh sb="4" eb="5">
      <t>ア</t>
    </rPh>
    <rPh sb="7" eb="8">
      <t>ズ</t>
    </rPh>
    <rPh sb="12" eb="13">
      <t>ネン</t>
    </rPh>
    <rPh sb="14" eb="15">
      <t>ガツ</t>
    </rPh>
    <rPh sb="16" eb="18">
      <t>セイド</t>
    </rPh>
    <rPh sb="23" eb="24">
      <t>ム</t>
    </rPh>
    <rPh sb="26" eb="27">
      <t>ヒ</t>
    </rPh>
    <rPh sb="28" eb="29">
      <t>ツヅ</t>
    </rPh>
    <rPh sb="43" eb="45">
      <t>センポウ</t>
    </rPh>
    <rPh sb="46" eb="47">
      <t>ナカ</t>
    </rPh>
    <rPh sb="50" eb="52">
      <t>セイシキ</t>
    </rPh>
    <rPh sb="56" eb="57">
      <t>カ</t>
    </rPh>
    <rPh sb="67" eb="71">
      <t>ガイブイタク</t>
    </rPh>
    <rPh sb="72" eb="74">
      <t>ヨサン</t>
    </rPh>
    <rPh sb="85" eb="86">
      <t>アヤ</t>
    </rPh>
    <rPh sb="89" eb="91">
      <t>センポウ</t>
    </rPh>
    <rPh sb="92" eb="94">
      <t>ガイブ</t>
    </rPh>
    <rPh sb="95" eb="96">
      <t>ツカ</t>
    </rPh>
    <rPh sb="97" eb="100">
      <t>ヒツヨウセイ</t>
    </rPh>
    <rPh sb="101" eb="102">
      <t>カン</t>
    </rPh>
    <rPh sb="109" eb="111">
      <t>イッショ</t>
    </rPh>
    <rPh sb="112" eb="114">
      <t>ヨサン</t>
    </rPh>
    <rPh sb="115" eb="117">
      <t>カクトク</t>
    </rPh>
    <rPh sb="120" eb="121">
      <t>ヨウ</t>
    </rPh>
    <rPh sb="121" eb="122">
      <t>スス</t>
    </rPh>
    <phoneticPr fontId="3"/>
  </si>
  <si>
    <t>asics</t>
  </si>
  <si>
    <t>管理職向けエンゲージメント向上施策</t>
  </si>
  <si>
    <t>既存顧客</t>
  </si>
  <si>
    <t>YAMAGATA</t>
  </si>
  <si>
    <t>PoC営業支援</t>
  </si>
  <si>
    <t>120万円</t>
  </si>
  <si>
    <t>波多野</t>
  </si>
  <si>
    <t>トヨタコネクティッド</t>
    <phoneticPr fontId="3"/>
  </si>
  <si>
    <t>オンボーディングプログラム設計</t>
    <rPh sb="13" eb="15">
      <t>セッケイ</t>
    </rPh>
    <phoneticPr fontId="3"/>
  </si>
  <si>
    <t>600万円</t>
    <rPh sb="3" eb="5">
      <t>マンエン</t>
    </rPh>
    <phoneticPr fontId="3"/>
  </si>
  <si>
    <t>小川、啓亮</t>
    <rPh sb="0" eb="2">
      <t>オガワ</t>
    </rPh>
    <rPh sb="3" eb="5">
      <t>ケイスケ</t>
    </rPh>
    <phoneticPr fontId="3"/>
  </si>
  <si>
    <t>10/30提案予定</t>
    <rPh sb="5" eb="9">
      <t>テイアンヨテイ</t>
    </rPh>
    <phoneticPr fontId="3"/>
  </si>
  <si>
    <t>一条工務店</t>
    <rPh sb="0" eb="5">
      <t>イチジョウコウムテン</t>
    </rPh>
    <phoneticPr fontId="3"/>
  </si>
  <si>
    <t>工事課での育成体系設計</t>
    <rPh sb="0" eb="3">
      <t>コウジカ</t>
    </rPh>
    <rPh sb="5" eb="11">
      <t>イクセイタイケイセッケイ</t>
    </rPh>
    <phoneticPr fontId="3"/>
  </si>
  <si>
    <t>10/30打ち合わせ予定。スコープ等確認</t>
    <rPh sb="5" eb="6">
      <t>ウ</t>
    </rPh>
    <rPh sb="7" eb="8">
      <t>ア</t>
    </rPh>
    <rPh sb="10" eb="12">
      <t>ヨテイ</t>
    </rPh>
    <rPh sb="17" eb="18">
      <t>トウ</t>
    </rPh>
    <rPh sb="18" eb="20">
      <t>カクニン</t>
    </rPh>
    <phoneticPr fontId="3"/>
  </si>
  <si>
    <t>トーシンパートナーズホールディングス</t>
  </si>
  <si>
    <t>育成体系設計</t>
  </si>
  <si>
    <t>キリコミ(過去接触先)</t>
  </si>
  <si>
    <t>波多野、森田</t>
    <rPh sb="0" eb="3">
      <t>ハタノ</t>
    </rPh>
    <phoneticPr fontId="3"/>
  </si>
  <si>
    <t>塩野義製薬</t>
    <rPh sb="0" eb="5">
      <t>シオノギセイヤク</t>
    </rPh>
    <phoneticPr fontId="3"/>
  </si>
  <si>
    <t>エンゲージメント向上に向けたKPI設計</t>
    <rPh sb="8" eb="10">
      <t>コウジョウ</t>
    </rPh>
    <rPh sb="11" eb="12">
      <t>ム</t>
    </rPh>
    <rPh sb="17" eb="19">
      <t>セッケイ</t>
    </rPh>
    <phoneticPr fontId="3"/>
  </si>
  <si>
    <t>キリコミ(過去接触先)</t>
    <phoneticPr fontId="3"/>
  </si>
  <si>
    <t>1000万円</t>
    <rPh sb="4" eb="5">
      <t>マン</t>
    </rPh>
    <rPh sb="5" eb="6">
      <t>エン</t>
    </rPh>
    <phoneticPr fontId="3"/>
  </si>
  <si>
    <t>まずは研修をやっていくとのこと</t>
    <rPh sb="3" eb="5">
      <t>ケンシュウ</t>
    </rPh>
    <phoneticPr fontId="3"/>
  </si>
  <si>
    <t>パラマウントベッド</t>
  </si>
  <si>
    <t>DEI推進支援2026</t>
  </si>
  <si>
    <t>ナリコマホールディングス</t>
    <phoneticPr fontId="3"/>
  </si>
  <si>
    <t>管理職育成体系設計</t>
    <rPh sb="3" eb="9">
      <t>イクセイタイケイセッケイ</t>
    </rPh>
    <phoneticPr fontId="3"/>
  </si>
  <si>
    <t>波多野</t>
    <rPh sb="0" eb="3">
      <t>ハタノ</t>
    </rPh>
    <phoneticPr fontId="3"/>
  </si>
  <si>
    <t>※黄色セルは手動入力、行挿入はNG（案件Noが変わってしまうため）</t>
    <rPh sb="1" eb="3">
      <t>キイロ</t>
    </rPh>
    <rPh sb="6" eb="10">
      <t>シュドウニュウリョク</t>
    </rPh>
    <phoneticPr fontId="3"/>
  </si>
  <si>
    <t>※計算用</t>
    <rPh sb="1" eb="3">
      <t>ケイサン</t>
    </rPh>
    <rPh sb="3" eb="4">
      <t>ヨウ</t>
    </rPh>
    <phoneticPr fontId="3"/>
  </si>
  <si>
    <t>◆月別売上</t>
    <rPh sb="1" eb="3">
      <t>ツキベツ</t>
    </rPh>
    <rPh sb="3" eb="5">
      <t>ウリアゲ</t>
    </rPh>
    <phoneticPr fontId="3"/>
  </si>
  <si>
    <t>継続</t>
    <rPh sb="0" eb="2">
      <t>ケイゾク</t>
    </rPh>
    <phoneticPr fontId="3"/>
  </si>
  <si>
    <t>案件No</t>
    <rPh sb="0" eb="2">
      <t>アンケン</t>
    </rPh>
    <phoneticPr fontId="3"/>
  </si>
  <si>
    <t>クライアント名</t>
    <rPh sb="6" eb="7">
      <t>メイ</t>
    </rPh>
    <phoneticPr fontId="3"/>
  </si>
  <si>
    <t>案件名</t>
    <rPh sb="0" eb="3">
      <t>アンケンメイ</t>
    </rPh>
    <phoneticPr fontId="3"/>
  </si>
  <si>
    <t>PIVOT用_PJ管理</t>
  </si>
  <si>
    <t>案件種類</t>
    <rPh sb="0" eb="2">
      <t>アンケン</t>
    </rPh>
    <rPh sb="2" eb="4">
      <t>シュルイ</t>
    </rPh>
    <phoneticPr fontId="3"/>
  </si>
  <si>
    <t>確度</t>
    <rPh sb="0" eb="2">
      <t>カクド</t>
    </rPh>
    <phoneticPr fontId="3"/>
  </si>
  <si>
    <t>PIC</t>
  </si>
  <si>
    <r>
      <rPr>
        <b/>
        <sz val="11"/>
        <color theme="1"/>
        <rFont val="Meiryo UI"/>
        <family val="3"/>
        <charset val="128"/>
      </rPr>
      <t>9期分</t>
    </r>
    <r>
      <rPr>
        <b/>
        <sz val="11"/>
        <color rgb="FFFF0000"/>
        <rFont val="Meiryo UI"/>
        <family val="3"/>
        <charset val="128"/>
      </rPr>
      <t xml:space="preserve">
</t>
    </r>
    <r>
      <rPr>
        <b/>
        <sz val="11"/>
        <rFont val="Meiryo UI"/>
        <family val="3"/>
        <charset val="128"/>
      </rPr>
      <t>PJ全体売上
（千円）</t>
    </r>
    <rPh sb="1" eb="2">
      <t>キ</t>
    </rPh>
    <rPh sb="2" eb="3">
      <t>ブン</t>
    </rPh>
    <rPh sb="6" eb="8">
      <t>ゼンタイ</t>
    </rPh>
    <rPh sb="8" eb="10">
      <t>ウリアゲ</t>
    </rPh>
    <rPh sb="12" eb="14">
      <t>センエン</t>
    </rPh>
    <phoneticPr fontId="3"/>
  </si>
  <si>
    <t>月別売上合計
（千円）</t>
    <rPh sb="0" eb="2">
      <t>ツキベツ</t>
    </rPh>
    <rPh sb="2" eb="4">
      <t>ウリアゲ</t>
    </rPh>
    <rPh sb="4" eb="6">
      <t>ゴウケイ</t>
    </rPh>
    <rPh sb="8" eb="10">
      <t>センエン</t>
    </rPh>
    <phoneticPr fontId="3"/>
  </si>
  <si>
    <t>差額</t>
    <rPh sb="0" eb="2">
      <t>サガク</t>
    </rPh>
    <phoneticPr fontId="3"/>
  </si>
  <si>
    <t>期間
(月)</t>
    <rPh sb="0" eb="2">
      <t>キカン</t>
    </rPh>
    <rPh sb="4" eb="5">
      <t>ツキ</t>
    </rPh>
    <phoneticPr fontId="3"/>
  </si>
  <si>
    <t>月単価
(千円)</t>
    <rPh sb="0" eb="1">
      <t>ツキ</t>
    </rPh>
    <rPh sb="1" eb="3">
      <t>タンカ</t>
    </rPh>
    <rPh sb="5" eb="7">
      <t>センエン</t>
    </rPh>
    <phoneticPr fontId="3"/>
  </si>
  <si>
    <t>9月</t>
    <rPh sb="1" eb="2">
      <t>ガツ</t>
    </rPh>
    <phoneticPr fontId="3"/>
  </si>
  <si>
    <t>10月</t>
    <rPh sb="2" eb="3">
      <t>ガツ</t>
    </rPh>
    <phoneticPr fontId="3"/>
  </si>
  <si>
    <t>11月</t>
  </si>
  <si>
    <t>12月</t>
  </si>
  <si>
    <t>1月</t>
  </si>
  <si>
    <t>*</t>
    <phoneticPr fontId="3"/>
  </si>
  <si>
    <t>伊藤ハム米久ホールディングス</t>
    <rPh sb="0" eb="2">
      <t>イトウ</t>
    </rPh>
    <rPh sb="4" eb="6">
      <t>ヨネキュウ</t>
    </rPh>
    <phoneticPr fontId="2"/>
  </si>
  <si>
    <t>エンゲージメント向上PJT</t>
    <rPh sb="8" eb="10">
      <t>コウジョウ</t>
    </rPh>
    <phoneticPr fontId="2"/>
  </si>
  <si>
    <t>組織開発</t>
    <rPh sb="0" eb="4">
      <t>ソシキカイハツ</t>
    </rPh>
    <phoneticPr fontId="2"/>
  </si>
  <si>
    <t>成立</t>
    <rPh sb="0" eb="2">
      <t>セイリツ</t>
    </rPh>
    <phoneticPr fontId="2"/>
  </si>
  <si>
    <t>パラドックス</t>
  </si>
  <si>
    <t>森の歩き方実装支援</t>
    <rPh sb="0" eb="1">
      <t>モリ</t>
    </rPh>
    <rPh sb="2" eb="3">
      <t>アル</t>
    </rPh>
    <rPh sb="4" eb="5">
      <t>カタ</t>
    </rPh>
    <rPh sb="5" eb="9">
      <t>ジッソウシエン</t>
    </rPh>
    <phoneticPr fontId="2"/>
  </si>
  <si>
    <t>人材育成</t>
    <rPh sb="0" eb="4">
      <t>ジンザイイクセイ</t>
    </rPh>
    <phoneticPr fontId="2"/>
  </si>
  <si>
    <t>日本総研</t>
    <rPh sb="0" eb="4">
      <t>ニホンソウケン</t>
    </rPh>
    <phoneticPr fontId="2"/>
  </si>
  <si>
    <t>キャリア入社者課題分析</t>
    <rPh sb="4" eb="7">
      <t>ニュウシャシャ</t>
    </rPh>
    <rPh sb="7" eb="11">
      <t>カダイブンセキ</t>
    </rPh>
    <phoneticPr fontId="2"/>
  </si>
  <si>
    <t>田島ルーフィング</t>
    <rPh sb="0" eb="2">
      <t>タジマ</t>
    </rPh>
    <phoneticPr fontId="2"/>
  </si>
  <si>
    <t>推せる職場診断</t>
    <rPh sb="0" eb="1">
      <t>オ</t>
    </rPh>
    <rPh sb="3" eb="7">
      <t>ショクバシンダン</t>
    </rPh>
    <phoneticPr fontId="2"/>
  </si>
  <si>
    <t>新事業立ち上げ支援</t>
  </si>
  <si>
    <t>その他</t>
  </si>
  <si>
    <t>豊田通商</t>
    <rPh sb="0" eb="4">
      <t>トヨタツウショウ</t>
    </rPh>
    <phoneticPr fontId="2"/>
  </si>
  <si>
    <t>人事KPI</t>
    <rPh sb="0" eb="5">
      <t>ジンジkピ</t>
    </rPh>
    <phoneticPr fontId="2"/>
  </si>
  <si>
    <t>失注</t>
    <rPh sb="0" eb="2">
      <t>シッチュウ</t>
    </rPh>
    <phoneticPr fontId="2"/>
  </si>
  <si>
    <t>メタルプラス</t>
  </si>
  <si>
    <t>OKI</t>
  </si>
  <si>
    <t>人材面を主とした組織診断</t>
    <rPh sb="0" eb="3">
      <t>ジンザイメン</t>
    </rPh>
    <rPh sb="4" eb="5">
      <t>シュ</t>
    </rPh>
    <rPh sb="8" eb="12">
      <t>ソシキシンダン</t>
    </rPh>
    <phoneticPr fontId="2"/>
  </si>
  <si>
    <t>宮﨑製鋼</t>
    <rPh sb="0" eb="4">
      <t>ミヤザキセイコウ</t>
    </rPh>
    <phoneticPr fontId="2"/>
  </si>
  <si>
    <t>エンゲージメントサーベイ</t>
  </si>
  <si>
    <t>データ分析</t>
    <rPh sb="3" eb="5">
      <t>ブンセキ</t>
    </rPh>
    <phoneticPr fontId="2"/>
  </si>
  <si>
    <t>MSプライマリー</t>
  </si>
  <si>
    <t>アートプレスト</t>
  </si>
  <si>
    <t>2025年上期人事施策実行支援</t>
  </si>
  <si>
    <t>友祐</t>
    <rPh sb="0" eb="2">
      <t>ユウユウ</t>
    </rPh>
    <phoneticPr fontId="3"/>
  </si>
  <si>
    <t>2025年下期人事施策実行支援</t>
    <rPh sb="5" eb="7">
      <t>シモキ</t>
    </rPh>
    <phoneticPr fontId="3"/>
  </si>
  <si>
    <t>その他</t>
    <rPh sb="2" eb="3">
      <t>タ</t>
    </rPh>
    <phoneticPr fontId="2"/>
  </si>
  <si>
    <t>経営層候補者向け研修実行支援</t>
  </si>
  <si>
    <t>人材育成</t>
  </si>
  <si>
    <t>役員研修</t>
  </si>
  <si>
    <t>JALUX</t>
  </si>
  <si>
    <t>ビジネス変革Community</t>
  </si>
  <si>
    <t>業務効率化</t>
  </si>
  <si>
    <t>管理職WS＆部門幹部ディスカッション</t>
  </si>
  <si>
    <t>HRBP支援</t>
  </si>
  <si>
    <t>組織開発</t>
  </si>
  <si>
    <t>FC対応力向上</t>
  </si>
  <si>
    <t>ローソンエンタテインメント</t>
  </si>
  <si>
    <t>人事制度・育成概要設計</t>
    <rPh sb="0" eb="4">
      <t>ジンジセイド</t>
    </rPh>
    <rPh sb="5" eb="7">
      <t>イクセイ</t>
    </rPh>
    <rPh sb="7" eb="11">
      <t>ガイヨウセッケイ</t>
    </rPh>
    <phoneticPr fontId="2"/>
  </si>
  <si>
    <t>小川</t>
    <rPh sb="0" eb="2">
      <t>オガワ</t>
    </rPh>
    <phoneticPr fontId="3"/>
  </si>
  <si>
    <t>MVV浸透支援Phase3</t>
  </si>
  <si>
    <t>Aプロジェクト</t>
    <phoneticPr fontId="3"/>
  </si>
  <si>
    <t>育成体系設計</t>
    <rPh sb="0" eb="4">
      <t>イクセイタイケイ</t>
    </rPh>
    <rPh sb="4" eb="6">
      <t>セッケイ</t>
    </rPh>
    <phoneticPr fontId="3"/>
  </si>
  <si>
    <t>女性社員交流会 企画支援</t>
  </si>
  <si>
    <t>オンボーディング・OJT企画</t>
  </si>
  <si>
    <t>オンボ・採用支援（中長期含）</t>
    <rPh sb="4" eb="8">
      <t>サイヨウシエン</t>
    </rPh>
    <rPh sb="9" eb="12">
      <t>チュウチョウキ</t>
    </rPh>
    <rPh sb="12" eb="13">
      <t>フク</t>
    </rPh>
    <phoneticPr fontId="2"/>
  </si>
  <si>
    <t>人事戦略検討</t>
    <rPh sb="0" eb="4">
      <t>ジンジセンリャク</t>
    </rPh>
    <rPh sb="4" eb="6">
      <t>ケントウ</t>
    </rPh>
    <phoneticPr fontId="2"/>
  </si>
  <si>
    <t>女性社員交流会 キックオフイベント支援</t>
  </si>
  <si>
    <t>女性社員交流会_女性キャリア研修</t>
  </si>
  <si>
    <t>社内広報業務支援</t>
  </si>
  <si>
    <t>組織開発</t>
    <rPh sb="0" eb="4">
      <t>ソシキカイハツ</t>
    </rPh>
    <phoneticPr fontId="3"/>
  </si>
  <si>
    <t>ソフトバンク</t>
    <phoneticPr fontId="3"/>
  </si>
  <si>
    <t>スキルマップ作成</t>
    <rPh sb="6" eb="8">
      <t>サクセイ</t>
    </rPh>
    <phoneticPr fontId="3"/>
  </si>
  <si>
    <t>インテージテクノスフィア</t>
    <phoneticPr fontId="3"/>
  </si>
  <si>
    <t>経営層向けレポート作成支援_Phase1</t>
    <rPh sb="0" eb="3">
      <t>ケイエイソウ</t>
    </rPh>
    <rPh sb="3" eb="4">
      <t>ム</t>
    </rPh>
    <rPh sb="9" eb="11">
      <t>サクセイ</t>
    </rPh>
    <rPh sb="11" eb="13">
      <t>シエン</t>
    </rPh>
    <phoneticPr fontId="3"/>
  </si>
  <si>
    <t>弓本</t>
    <rPh sb="0" eb="2">
      <t>ユミモト</t>
    </rPh>
    <phoneticPr fontId="3"/>
  </si>
  <si>
    <t>パラドックス</t>
    <phoneticPr fontId="3"/>
  </si>
  <si>
    <t>森の歩き方実装支援（10月以降）</t>
    <rPh sb="0" eb="1">
      <t>モリ</t>
    </rPh>
    <rPh sb="2" eb="3">
      <t>アル</t>
    </rPh>
    <rPh sb="4" eb="9">
      <t>カタジッソウシエン</t>
    </rPh>
    <rPh sb="12" eb="13">
      <t>ガツ</t>
    </rPh>
    <rPh sb="13" eb="15">
      <t>イコウ</t>
    </rPh>
    <phoneticPr fontId="3"/>
  </si>
  <si>
    <t>リンクシェア・ジャパン</t>
    <phoneticPr fontId="3"/>
  </si>
  <si>
    <t>早期戦力化へのオンボーディングプログラム設計</t>
    <rPh sb="0" eb="5">
      <t>ソウキセンリョクカ</t>
    </rPh>
    <rPh sb="20" eb="22">
      <t>セッケイ</t>
    </rPh>
    <phoneticPr fontId="3"/>
  </si>
  <si>
    <t>本田技術研究所</t>
    <rPh sb="0" eb="2">
      <t>ホンダ</t>
    </rPh>
    <rPh sb="2" eb="7">
      <t>ギジュツケンキュウジョ</t>
    </rPh>
    <phoneticPr fontId="3"/>
  </si>
  <si>
    <t>女性研究職社員の定着へ向けた課題分析・施策立案</t>
    <rPh sb="0" eb="7">
      <t>ジョセイケンキュウショクシャイン</t>
    </rPh>
    <rPh sb="8" eb="10">
      <t>テイチャク</t>
    </rPh>
    <rPh sb="11" eb="12">
      <t>ム</t>
    </rPh>
    <rPh sb="14" eb="16">
      <t>カダイ</t>
    </rPh>
    <rPh sb="16" eb="18">
      <t>ブンセキ</t>
    </rPh>
    <rPh sb="19" eb="23">
      <t>シサクリツアン</t>
    </rPh>
    <phoneticPr fontId="3"/>
  </si>
  <si>
    <t>製造現場の業務効率化</t>
  </si>
  <si>
    <t>三井情報</t>
    <rPh sb="0" eb="4">
      <t>ミツイジョウホウ</t>
    </rPh>
    <phoneticPr fontId="3"/>
  </si>
  <si>
    <t>人材マネジメントアドバイザリー</t>
    <rPh sb="0" eb="2">
      <t>ジンザイ</t>
    </rPh>
    <phoneticPr fontId="3"/>
  </si>
  <si>
    <t>オンボーディング施策設計</t>
    <rPh sb="8" eb="12">
      <t>シサクセッケイ</t>
    </rPh>
    <phoneticPr fontId="3"/>
  </si>
  <si>
    <t>オーネスト</t>
    <phoneticPr fontId="3"/>
  </si>
  <si>
    <t>マネジメント力定義</t>
  </si>
  <si>
    <t>森田</t>
    <phoneticPr fontId="3"/>
  </si>
  <si>
    <t>育成体系</t>
    <rPh sb="0" eb="4">
      <t>イクセイタイケイ</t>
    </rPh>
    <phoneticPr fontId="3"/>
  </si>
  <si>
    <t>役員合宿</t>
  </si>
  <si>
    <t>人事・評価制度見直し</t>
  </si>
  <si>
    <t>朝日生命</t>
    <rPh sb="0" eb="4">
      <t>アサヒセイメイ</t>
    </rPh>
    <phoneticPr fontId="3"/>
  </si>
  <si>
    <t>社内大学設立への現状調査</t>
    <rPh sb="0" eb="4">
      <t>シャナイダイガク</t>
    </rPh>
    <rPh sb="4" eb="6">
      <t>セツリツ</t>
    </rPh>
    <rPh sb="8" eb="12">
      <t>ゲンジョウチョウサ</t>
    </rPh>
    <phoneticPr fontId="3"/>
  </si>
  <si>
    <t>アートプレスト</t>
    <phoneticPr fontId="3"/>
  </si>
  <si>
    <t>評価者研修（期末評価）</t>
    <rPh sb="0" eb="3">
      <t>ヒョウカシャ</t>
    </rPh>
    <rPh sb="3" eb="5">
      <t>ケンシュウ</t>
    </rPh>
    <rPh sb="6" eb="10">
      <t>キマツヒョウカ</t>
    </rPh>
    <phoneticPr fontId="3"/>
  </si>
  <si>
    <t>友祐</t>
    <rPh sb="0" eb="2">
      <t>ユウスケ</t>
    </rPh>
    <phoneticPr fontId="3"/>
  </si>
  <si>
    <t>2026年上期人事施策実行支援</t>
    <phoneticPr fontId="3"/>
  </si>
  <si>
    <t>宮﨑精鋼</t>
    <rPh sb="0" eb="4">
      <t>ミヤザキセイコウ</t>
    </rPh>
    <phoneticPr fontId="3"/>
  </si>
  <si>
    <t>部課長FB</t>
    <rPh sb="0" eb="3">
      <t>ブカチョウ</t>
    </rPh>
    <phoneticPr fontId="3"/>
  </si>
  <si>
    <t>HRアナリティクス</t>
  </si>
  <si>
    <t>コメダ大学目的・スコープ再設計</t>
    <rPh sb="3" eb="5">
      <t>ダイガク</t>
    </rPh>
    <rPh sb="5" eb="7">
      <t>モクテキ</t>
    </rPh>
    <rPh sb="12" eb="15">
      <t>サイセッケイ</t>
    </rPh>
    <phoneticPr fontId="3"/>
  </si>
  <si>
    <t>OKIクロステック</t>
    <phoneticPr fontId="3"/>
  </si>
  <si>
    <t>エンゲージメント向上支援</t>
    <rPh sb="8" eb="12">
      <t>コウジョウシエン</t>
    </rPh>
    <phoneticPr fontId="3"/>
  </si>
  <si>
    <t>S1および制作部門変革支援（フェーズ4）</t>
  </si>
  <si>
    <t>OKI</t>
    <phoneticPr fontId="3"/>
  </si>
  <si>
    <t>採用＆オンボーディング支援_Ph.1基礎調査</t>
    <rPh sb="18" eb="22">
      <t>キソチョウサ</t>
    </rPh>
    <phoneticPr fontId="3"/>
  </si>
  <si>
    <t>B</t>
  </si>
  <si>
    <t>オニカナ</t>
    <phoneticPr fontId="3"/>
  </si>
  <si>
    <t>採用支援</t>
    <rPh sb="0" eb="4">
      <t>サイヨウシエン</t>
    </rPh>
    <phoneticPr fontId="3"/>
  </si>
  <si>
    <t>マネージャークラスのスキル診断・研修伴走</t>
  </si>
  <si>
    <t>DEI事務局 伴走支援　フェーズ1</t>
  </si>
  <si>
    <t>管理職向け研修（コンサル分のみ）</t>
  </si>
  <si>
    <t>三井情報</t>
    <rPh sb="0" eb="2">
      <t>ミツイ</t>
    </rPh>
    <rPh sb="2" eb="4">
      <t>ジョウホウ</t>
    </rPh>
    <phoneticPr fontId="3"/>
  </si>
  <si>
    <t>人材マネジメントアドバイザリーPhase2</t>
    <rPh sb="0" eb="2">
      <t>ジンザイ</t>
    </rPh>
    <phoneticPr fontId="3"/>
  </si>
  <si>
    <t>Beyonge</t>
    <phoneticPr fontId="3"/>
  </si>
  <si>
    <t>AP様向け新卒採用支援販売手数料</t>
    <rPh sb="2" eb="3">
      <t>サマ</t>
    </rPh>
    <rPh sb="3" eb="4">
      <t>ム</t>
    </rPh>
    <rPh sb="5" eb="9">
      <t>シンソツサイヨウ</t>
    </rPh>
    <rPh sb="9" eb="11">
      <t>シエン</t>
    </rPh>
    <rPh sb="11" eb="16">
      <t>ハンバイテスウリョウ</t>
    </rPh>
    <phoneticPr fontId="3"/>
  </si>
  <si>
    <t>防衛省統合幕僚監部</t>
    <rPh sb="0" eb="3">
      <t>ボウエイショウ</t>
    </rPh>
    <rPh sb="3" eb="9">
      <t>トウゴウバクリョウカンブ</t>
    </rPh>
    <phoneticPr fontId="3"/>
  </si>
  <si>
    <t>エンゲージメントサーベイ</t>
    <phoneticPr fontId="3"/>
  </si>
  <si>
    <t>キャリア支援ガイドライン設計</t>
    <rPh sb="4" eb="6">
      <t>シエン</t>
    </rPh>
    <rPh sb="12" eb="14">
      <t>セッケイ</t>
    </rPh>
    <phoneticPr fontId="3"/>
  </si>
  <si>
    <t>日立ハイテク</t>
    <rPh sb="0" eb="2">
      <t>ヒタチ</t>
    </rPh>
    <phoneticPr fontId="3"/>
  </si>
  <si>
    <t>人事データ分析</t>
    <rPh sb="0" eb="2">
      <t>ジンジ</t>
    </rPh>
    <rPh sb="5" eb="7">
      <t>ブンセキ</t>
    </rPh>
    <phoneticPr fontId="3"/>
  </si>
  <si>
    <t>採用＆オンボーディング支援_Ph.2</t>
    <rPh sb="0" eb="2">
      <t>サイヨウ</t>
    </rPh>
    <rPh sb="11" eb="13">
      <t>シエン</t>
    </rPh>
    <phoneticPr fontId="3"/>
  </si>
  <si>
    <t>ローソンエンタテインメント</t>
    <phoneticPr fontId="3"/>
  </si>
  <si>
    <t>戦略人事室立ち上げ支援</t>
    <rPh sb="0" eb="5">
      <t>センリャクジンジシツ</t>
    </rPh>
    <rPh sb="5" eb="6">
      <t>タ</t>
    </rPh>
    <rPh sb="7" eb="8">
      <t>ア</t>
    </rPh>
    <rPh sb="9" eb="11">
      <t>シエン</t>
    </rPh>
    <phoneticPr fontId="3"/>
  </si>
  <si>
    <t>ひらまつ</t>
    <phoneticPr fontId="3"/>
  </si>
  <si>
    <t>育成ガイドライン設計支援Phase2</t>
    <rPh sb="0" eb="2">
      <t>イクセイ</t>
    </rPh>
    <rPh sb="8" eb="12">
      <t>セッケイシエン</t>
    </rPh>
    <phoneticPr fontId="3"/>
  </si>
  <si>
    <t>※黄色セルは手動入力</t>
    <rPh sb="1" eb="3">
      <t>キイロ</t>
    </rPh>
    <rPh sb="6" eb="10">
      <t>シュドウニュウリョク</t>
    </rPh>
    <phoneticPr fontId="3"/>
  </si>
  <si>
    <t>※BPなどは「外部」と入力（【管理用】BRシートの担当名称）</t>
    <rPh sb="7" eb="9">
      <t>ガイブ</t>
    </rPh>
    <rPh sb="11" eb="13">
      <t>ニュウリョク</t>
    </rPh>
    <rPh sb="15" eb="17">
      <t>カンリ</t>
    </rPh>
    <rPh sb="17" eb="18">
      <t>ヨウ</t>
    </rPh>
    <rPh sb="25" eb="27">
      <t>タントウ</t>
    </rPh>
    <rPh sb="27" eb="29">
      <t>メイショウ</t>
    </rPh>
    <phoneticPr fontId="3"/>
  </si>
  <si>
    <t>◆PJ基本情報（全体）</t>
    <rPh sb="3" eb="5">
      <t>キホン</t>
    </rPh>
    <rPh sb="5" eb="7">
      <t>ジョウホウ</t>
    </rPh>
    <rPh sb="8" eb="10">
      <t>ゼンタイ</t>
    </rPh>
    <phoneticPr fontId="3"/>
  </si>
  <si>
    <t>◆PJ売上情報（全体）</t>
    <rPh sb="3" eb="5">
      <t>ウリアゲ</t>
    </rPh>
    <rPh sb="5" eb="7">
      <t>ジョウホウ</t>
    </rPh>
    <rPh sb="8" eb="10">
      <t>ゼンタイ</t>
    </rPh>
    <phoneticPr fontId="3"/>
  </si>
  <si>
    <t>※自動</t>
    <rPh sb="1" eb="3">
      <t>ジドウ</t>
    </rPh>
    <phoneticPr fontId="3"/>
  </si>
  <si>
    <t>※0に近づける</t>
    <rPh sb="3" eb="4">
      <t>チカ</t>
    </rPh>
    <phoneticPr fontId="3"/>
  </si>
  <si>
    <t>◆月別CH_個人別</t>
    <rPh sb="1" eb="3">
      <t>ツキベツ</t>
    </rPh>
    <rPh sb="6" eb="9">
      <t>コジンベツ</t>
    </rPh>
    <phoneticPr fontId="3"/>
  </si>
  <si>
    <t>◆月別売上_個人別（千円）</t>
    <rPh sb="1" eb="3">
      <t>ツキベツ</t>
    </rPh>
    <rPh sb="3" eb="5">
      <t>ウリアゲ</t>
    </rPh>
    <rPh sb="6" eb="9">
      <t>コジンベツ</t>
    </rPh>
    <rPh sb="10" eb="12">
      <t>センエン</t>
    </rPh>
    <phoneticPr fontId="3"/>
  </si>
  <si>
    <t>No</t>
    <phoneticPr fontId="3"/>
  </si>
  <si>
    <t>PIVOT用_PJ管理</t>
    <rPh sb="5" eb="6">
      <t>ヨウ</t>
    </rPh>
    <rPh sb="9" eb="11">
      <t>カンリ</t>
    </rPh>
    <phoneticPr fontId="3"/>
  </si>
  <si>
    <t>PJ全体売上
（千円）
※②シートより</t>
    <rPh sb="2" eb="4">
      <t>ゼンタイ</t>
    </rPh>
    <rPh sb="4" eb="6">
      <t>ウリアゲ</t>
    </rPh>
    <rPh sb="8" eb="9">
      <t>セン</t>
    </rPh>
    <rPh sb="9" eb="10">
      <t>エン</t>
    </rPh>
    <phoneticPr fontId="3"/>
  </si>
  <si>
    <t>自動計算との差分
（千円）</t>
    <rPh sb="0" eb="2">
      <t>ジドウ</t>
    </rPh>
    <rPh sb="2" eb="4">
      <t>ケイサン</t>
    </rPh>
    <rPh sb="6" eb="8">
      <t>サブン</t>
    </rPh>
    <rPh sb="10" eb="12">
      <t>センエン</t>
    </rPh>
    <phoneticPr fontId="3"/>
  </si>
  <si>
    <t>担当</t>
    <rPh sb="0" eb="2">
      <t>タントウ</t>
    </rPh>
    <phoneticPr fontId="3"/>
  </si>
  <si>
    <t>合計</t>
    <rPh sb="0" eb="2">
      <t>ゴウケイ</t>
    </rPh>
    <phoneticPr fontId="3"/>
  </si>
  <si>
    <t>啓亮</t>
    <rPh sb="0" eb="1">
      <t>ケイ</t>
    </rPh>
    <rPh sb="1" eb="2">
      <t>スケ</t>
    </rPh>
    <phoneticPr fontId="2"/>
  </si>
  <si>
    <t>外部</t>
    <rPh sb="0" eb="2">
      <t>ガイブ</t>
    </rPh>
    <phoneticPr fontId="2"/>
  </si>
  <si>
    <t>小川</t>
    <rPh sb="0" eb="2">
      <t>オガワ</t>
    </rPh>
    <phoneticPr fontId="2"/>
  </si>
  <si>
    <t>波多野</t>
    <rPh sb="0" eb="3">
      <t>ハタノ</t>
    </rPh>
    <phoneticPr fontId="2"/>
  </si>
  <si>
    <t>丸田</t>
    <rPh sb="0" eb="2">
      <t>マルタ</t>
    </rPh>
    <phoneticPr fontId="2"/>
  </si>
  <si>
    <t>加藤</t>
    <rPh sb="0" eb="2">
      <t>カトウ</t>
    </rPh>
    <phoneticPr fontId="2"/>
  </si>
  <si>
    <t>芹澤</t>
    <rPh sb="0" eb="2">
      <t>セリザワ</t>
    </rPh>
    <phoneticPr fontId="2"/>
  </si>
  <si>
    <t>弓本</t>
    <rPh sb="0" eb="2">
      <t>ユミモト</t>
    </rPh>
    <phoneticPr fontId="2"/>
  </si>
  <si>
    <t>友祐</t>
    <rPh sb="0" eb="2">
      <t>ユウスケ</t>
    </rPh>
    <phoneticPr fontId="2"/>
  </si>
  <si>
    <t>森田</t>
    <rPh sb="0" eb="2">
      <t>モリタ</t>
    </rPh>
    <phoneticPr fontId="2"/>
  </si>
  <si>
    <t>外部</t>
  </si>
  <si>
    <t>古藤</t>
    <rPh sb="0" eb="2">
      <t>コトウ</t>
    </rPh>
    <phoneticPr fontId="2"/>
  </si>
  <si>
    <t>啓亮</t>
    <rPh sb="0" eb="2">
      <t>ケイスケ</t>
    </rPh>
    <phoneticPr fontId="2"/>
  </si>
  <si>
    <t>外部</t>
    <rPh sb="0" eb="2">
      <t>ガイブ</t>
    </rPh>
    <phoneticPr fontId="3"/>
  </si>
  <si>
    <t>加藤</t>
    <rPh sb="0" eb="2">
      <t>カトウ</t>
    </rPh>
    <phoneticPr fontId="3"/>
  </si>
  <si>
    <t>加藤</t>
  </si>
  <si>
    <t>未定</t>
  </si>
  <si>
    <t>友祐</t>
    <rPh sb="0" eb="1">
      <t>ユウ</t>
    </rPh>
    <rPh sb="1" eb="2">
      <t>ユウ</t>
    </rPh>
    <phoneticPr fontId="3"/>
  </si>
  <si>
    <t>古藤</t>
    <rPh sb="0" eb="2">
      <t>コトウ</t>
    </rPh>
    <phoneticPr fontId="3"/>
  </si>
  <si>
    <t>BR</t>
    <phoneticPr fontId="3"/>
  </si>
  <si>
    <t>BR（千円）</t>
    <rPh sb="3" eb="5">
      <t>センエン</t>
    </rPh>
    <phoneticPr fontId="3"/>
  </si>
  <si>
    <t>丸田</t>
    <rPh sb="0" eb="2">
      <t>マルタ</t>
    </rPh>
    <phoneticPr fontId="3"/>
  </si>
  <si>
    <t>小野寺</t>
    <rPh sb="0" eb="3">
      <t>オノデラ</t>
    </rPh>
    <phoneticPr fontId="3"/>
  </si>
  <si>
    <t>今福</t>
    <rPh sb="0" eb="2">
      <t>イマフク</t>
    </rPh>
    <phoneticPr fontId="3"/>
  </si>
  <si>
    <t>森田</t>
    <rPh sb="0" eb="2">
      <t>モリタ</t>
    </rPh>
    <phoneticPr fontId="3"/>
  </si>
  <si>
    <t>%</t>
    <phoneticPr fontId="3"/>
  </si>
  <si>
    <t>ステータス</t>
  </si>
  <si>
    <t>定義</t>
    <rPh sb="0" eb="2">
      <t>テイギ</t>
    </rPh>
    <phoneticPr fontId="3"/>
  </si>
  <si>
    <t>契約締結</t>
    <rPh sb="0" eb="4">
      <t>ケイヤクテイケツ</t>
    </rPh>
    <phoneticPr fontId="3"/>
  </si>
  <si>
    <t>契約締結済み</t>
    <rPh sb="0" eb="4">
      <t>ケイヤクテイケツ</t>
    </rPh>
    <rPh sb="4" eb="5">
      <t>ズ</t>
    </rPh>
    <phoneticPr fontId="3"/>
  </si>
  <si>
    <t>申請前</t>
    <rPh sb="0" eb="3">
      <t>シンセイマエ</t>
    </rPh>
    <phoneticPr fontId="3"/>
  </si>
  <si>
    <t>口頭受注</t>
    <rPh sb="0" eb="4">
      <t>コウトウジュチュウ</t>
    </rPh>
    <phoneticPr fontId="3"/>
  </si>
  <si>
    <t>担当者or決裁者からNEWONEへ正式に発注したい旨を伝達いただく</t>
    <rPh sb="0" eb="3">
      <t>タントウシャ</t>
    </rPh>
    <rPh sb="5" eb="8">
      <t>ケッサイシャ</t>
    </rPh>
    <rPh sb="17" eb="19">
      <t>セイシキ</t>
    </rPh>
    <rPh sb="20" eb="22">
      <t>ハッチュウ</t>
    </rPh>
    <rPh sb="25" eb="26">
      <t>ムネ</t>
    </rPh>
    <rPh sb="27" eb="29">
      <t>デンタツ</t>
    </rPh>
    <phoneticPr fontId="3"/>
  </si>
  <si>
    <t>セミナー</t>
  </si>
  <si>
    <t>申請中</t>
    <rPh sb="0" eb="3">
      <t>シンセイチュウ</t>
    </rPh>
    <phoneticPr fontId="3"/>
  </si>
  <si>
    <t>HRアナリティクス</t>
    <phoneticPr fontId="3"/>
  </si>
  <si>
    <t>NEWONE推し</t>
    <rPh sb="6" eb="7">
      <t>オ</t>
    </rPh>
    <phoneticPr fontId="3"/>
  </si>
  <si>
    <t>担当者or決裁者から、「私としてはNEWONEが良いと思っている」とコメントをいただけている</t>
    <rPh sb="0" eb="3">
      <t>タントウシャ</t>
    </rPh>
    <rPh sb="5" eb="8">
      <t>ケッサイシャ</t>
    </rPh>
    <rPh sb="12" eb="13">
      <t>ワタシ</t>
    </rPh>
    <rPh sb="24" eb="25">
      <t>ヨ</t>
    </rPh>
    <rPh sb="27" eb="28">
      <t>オモ</t>
    </rPh>
    <phoneticPr fontId="3"/>
  </si>
  <si>
    <t>③営業人材の行動変容</t>
    <rPh sb="1" eb="3">
      <t>エイギョウ</t>
    </rPh>
    <rPh sb="3" eb="5">
      <t>ジンザイ</t>
    </rPh>
    <rPh sb="6" eb="10">
      <t>コウドウヘンヨウ</t>
    </rPh>
    <phoneticPr fontId="3"/>
  </si>
  <si>
    <t>HP</t>
  </si>
  <si>
    <t>承認済</t>
    <rPh sb="0" eb="2">
      <t>ショウニン</t>
    </rPh>
    <rPh sb="2" eb="3">
      <t>スミ</t>
    </rPh>
    <phoneticPr fontId="3"/>
  </si>
  <si>
    <t>提案書提出</t>
    <rPh sb="0" eb="2">
      <t>テイアン</t>
    </rPh>
    <rPh sb="2" eb="5">
      <t>ショテイシュツ</t>
    </rPh>
    <phoneticPr fontId="3"/>
  </si>
  <si>
    <t>提案書の提出が完了し、先方の精査が行われている</t>
    <rPh sb="0" eb="3">
      <t>テイアンショ</t>
    </rPh>
    <rPh sb="4" eb="6">
      <t>テイシュツ</t>
    </rPh>
    <rPh sb="7" eb="9">
      <t>カンリョウ</t>
    </rPh>
    <rPh sb="11" eb="13">
      <t>センポウ</t>
    </rPh>
    <rPh sb="14" eb="16">
      <t>セイサ</t>
    </rPh>
    <rPh sb="17" eb="18">
      <t>オコナ</t>
    </rPh>
    <phoneticPr fontId="3"/>
  </si>
  <si>
    <t>④エンジニア行動変容</t>
    <rPh sb="6" eb="10">
      <t>コウドウヘンヨウ</t>
    </rPh>
    <phoneticPr fontId="3"/>
  </si>
  <si>
    <t>波多野さん</t>
    <rPh sb="0" eb="3">
      <t>ハタノ</t>
    </rPh>
    <phoneticPr fontId="3"/>
  </si>
  <si>
    <t>不要</t>
    <rPh sb="0" eb="2">
      <t>フヨウ</t>
    </rPh>
    <phoneticPr fontId="3"/>
  </si>
  <si>
    <t>提案依頼</t>
    <rPh sb="0" eb="4">
      <t>テイアンイライ</t>
    </rPh>
    <phoneticPr fontId="3"/>
  </si>
  <si>
    <t>先方から見積もりを含む提案依頼をもらえている</t>
    <rPh sb="0" eb="2">
      <t>センポウ</t>
    </rPh>
    <rPh sb="4" eb="6">
      <t>ミツ</t>
    </rPh>
    <rPh sb="9" eb="10">
      <t>フク</t>
    </rPh>
    <rPh sb="11" eb="13">
      <t>テイアン</t>
    </rPh>
    <rPh sb="13" eb="15">
      <t>イライ</t>
    </rPh>
    <phoneticPr fontId="3"/>
  </si>
  <si>
    <t>紹介</t>
    <rPh sb="0" eb="2">
      <t>ショウカイ</t>
    </rPh>
    <phoneticPr fontId="3"/>
  </si>
  <si>
    <t>案件形成</t>
    <rPh sb="0" eb="2">
      <t>アンケン</t>
    </rPh>
    <rPh sb="2" eb="4">
      <t>ケイセイ</t>
    </rPh>
    <phoneticPr fontId="3"/>
  </si>
  <si>
    <t>その他</t>
    <rPh sb="2" eb="3">
      <t>ホカ</t>
    </rPh>
    <phoneticPr fontId="3"/>
  </si>
  <si>
    <t>9期_キーアカウント売り上げ見込み（確度換算前）</t>
  </si>
  <si>
    <t>（千円)</t>
  </si>
  <si>
    <t>アカウント</t>
  </si>
  <si>
    <t>アカウント担当</t>
  </si>
  <si>
    <t>成立</t>
  </si>
  <si>
    <t>N(左記以外)</t>
  </si>
  <si>
    <t>計</t>
  </si>
  <si>
    <t>田島ルーフィング</t>
  </si>
  <si>
    <t>啓亮</t>
  </si>
  <si>
    <t>伊藤ハム米久ホールディングス</t>
  </si>
  <si>
    <t>啓亮</t>
    <phoneticPr fontId="3"/>
  </si>
  <si>
    <t>友祐</t>
  </si>
  <si>
    <t>LE</t>
  </si>
  <si>
    <t>芹澤・弓本</t>
  </si>
  <si>
    <t>豊通</t>
  </si>
  <si>
    <t>ASICS</t>
  </si>
  <si>
    <t>9期_キーアカウント売り上げ見込み（確度換算後）</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</si>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</sst>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 #,##0_ ;_ * \-#,##0_ ;_ * &quot;-&quot;_ ;_ @_ "/>
  </numFmts>
  <fonts count="13">
    <font>
      <sz val="11"/>
      <color theme="1"/>
      <name val="Yu Gothic"/>
      <family val="2"/>
      <scheme val="minor"/>
    </font>
    <font>
      <sz val="11"/>
      <color theme="1"/>
      <name val="Yu Gothic"/>
      <family val="2"/>
      <scheme val="minor"/>
    </font>
    <font>
      <sz val="18"/>
      <color theme="3"/>
      <name val="Yu Gothic Light"/>
      <family val="2"/>
      <charset val="128"/>
      <scheme val="major"/>
    </font>
    <font>
      <sz val="6"/>
      <name val="Yu Gothic"/>
      <family val="3"/>
      <charset val="128"/>
      <scheme val="minor"/>
    </font>
    <font>
      <sz val="11"/>
      <color theme="1"/>
      <name val="Meiryo UI"/>
      <family val="3"/>
      <charset val="128"/>
    </font>
    <font>
      <b/>
      <sz val="11"/>
      <color theme="1"/>
      <name val="Meiryo UI"/>
      <family val="3"/>
      <charset val="128"/>
    </font>
    <font>
      <sz val="11"/>
      <name val="Meiryo UI"/>
      <family val="3"/>
      <charset val="128"/>
    </font>
    <font>
      <b/>
      <sz val="11"/>
      <name val="Meiryo UI"/>
      <family val="3"/>
      <charset val="128"/>
    </font>
    <font>
      <sz val="6"/>
      <name val="Yu Gothic"/>
      <family val="2"/>
      <charset val="128"/>
      <scheme val="minor"/>
    </font>
    <font>
      <sz val="11"/>
      <color theme="0"/>
      <name val="Meiryo UI"/>
      <family val="3"/>
      <charset val="128"/>
    </font>
    <font>
      <b/>
      <u/>
      <sz val="11"/>
      <name val="Meiryo UI"/>
      <family val="3"/>
      <charset val="128"/>
    </font>
    <font>
      <b/>
      <sz val="11"/>
      <color rgb="FFFF0000"/>
      <name val="Meiryo UI"/>
      <family val="3"/>
      <charset val="128"/>
    </font>
    <font>
      <sz val="11"/>
      <color rgb="FF000000"/>
      <name val="游ゴシック"/>
      <family val="3"/>
      <charset val="128"/>
    </font>
  </fonts>
  <fills count="14">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1"/>
        <bgColor indexed="64"/>
      </patternFill>
    </fill>
    <fill>
      <patternFill patternType="solid">
        <fgColor theme="0" tint="-4.9989318521683403E-2"/>
        <bgColor indexed="64"/>
      </patternFill>
    </fill>
    <fill>
      <patternFill patternType="solid">
        <fgColor theme="9"/>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rgb="FFFFF2CC"/>
        <bgColor indexed="64"/>
      </patternFill>
    </fill>
    <fill>
      <patternFill patternType="solid">
        <fgColor theme="0"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diagonal/>
    </border>
    <border>
      <left/>
      <right/>
      <top style="thin">
        <color indexed="64"/>
      </top>
      <bottom/>
      <diagonal/>
    </border>
    <border>
      <left/>
      <right/>
      <top style="thin">
        <color indexed="64"/>
      </top>
      <bottom style="hair">
        <color indexed="64"/>
      </bottom>
      <diagonal/>
    </border>
    <border>
      <left/>
      <right/>
      <top style="hair">
        <color indexed="64"/>
      </top>
      <bottom style="hair">
        <color indexed="64"/>
      </bottom>
      <diagonal/>
    </border>
    <border>
      <left/>
      <right/>
      <top/>
      <bottom style="thin">
        <color indexed="64"/>
      </bottom>
      <diagonal/>
    </border>
    <border>
      <left/>
      <right/>
      <top style="hair">
        <color indexed="64"/>
      </top>
      <bottom style="thin">
        <color indexed="64"/>
      </bottom>
      <diagonal/>
    </border>
    <border>
      <left style="thin">
        <color theme="0"/>
      </left>
      <right/>
      <top/>
      <bottom/>
      <diagonal/>
    </border>
    <border>
      <left/>
      <right/>
      <top style="medium">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style="thin">
        <color indexed="64"/>
      </top>
      <bottom style="medium">
        <color indexed="64"/>
      </bottom>
      <diagonal/>
    </border>
    <border>
      <left style="thin">
        <color indexed="64"/>
      </left>
      <right style="thin">
        <color indexed="64"/>
      </right>
      <top style="dashed">
        <color indexed="64"/>
      </top>
      <bottom style="dashed">
        <color indexed="64"/>
      </bottom>
      <diagonal/>
    </border>
    <border>
      <left/>
      <right/>
      <top style="medium">
        <color indexed="64"/>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9" fontId="1" fillId="0" borderId="0" applyFont="0" applyFill="0" applyBorder="0" applyAlignment="0" applyProtection="0">
      <alignment vertical="center"/>
    </xf>
    <xf numFmtId="38" fontId="1" fillId="0" borderId="0" applyFont="0" applyFill="0" applyBorder="0" applyAlignment="0" applyProtection="0">
      <alignment vertical="center"/>
    </xf>
  </cellStyleXfs>
  <cellXfs count="95">
    <xf numFmtId="0" fontId="0" fillId="0" borderId="0" xfId="0"/>
    <xf numFmtId="0" fontId="4" fillId="0" borderId="0" xfId="0" applyFont="1"/>
    <xf numFmtId="0" fontId="4" fillId="0" borderId="1" xfId="0" applyFont="1" applyBorder="1"/>
    <xf numFmtId="0" fontId="4" fillId="0" borderId="3" xfId="0" applyFont="1" applyBorder="1" applyAlignment="1">
      <alignment vertical="center"/>
    </xf>
    <xf numFmtId="0" fontId="4" fillId="0" borderId="0" xfId="0" applyFont="1" applyAlignment="1">
      <alignment vertical="center"/>
    </xf>
    <xf numFmtId="0" fontId="4" fillId="0" borderId="6" xfId="0" applyFont="1" applyBorder="1" applyAlignment="1">
      <alignment vertical="center"/>
    </xf>
    <xf numFmtId="0" fontId="9" fillId="4" borderId="2" xfId="0" applyFont="1" applyFill="1" applyBorder="1" applyAlignment="1">
      <alignment horizontal="center" vertical="center"/>
    </xf>
    <xf numFmtId="0" fontId="4" fillId="0" borderId="4" xfId="0" applyFont="1" applyBorder="1" applyAlignment="1">
      <alignment vertical="center"/>
    </xf>
    <xf numFmtId="9" fontId="4" fillId="0" borderId="4" xfId="1" applyFont="1" applyBorder="1">
      <alignment vertical="center"/>
    </xf>
    <xf numFmtId="0" fontId="4" fillId="0" borderId="5" xfId="0" applyFont="1" applyBorder="1" applyAlignment="1">
      <alignment vertical="center"/>
    </xf>
    <xf numFmtId="0" fontId="4" fillId="0" borderId="7" xfId="0" applyFont="1" applyBorder="1" applyAlignment="1">
      <alignment vertical="center"/>
    </xf>
    <xf numFmtId="9" fontId="4" fillId="0" borderId="7" xfId="1" applyFont="1" applyBorder="1">
      <alignment vertical="center"/>
    </xf>
    <xf numFmtId="0" fontId="6" fillId="3" borderId="1" xfId="0" applyFont="1" applyFill="1" applyBorder="1" applyAlignment="1">
      <alignment vertical="top"/>
    </xf>
    <xf numFmtId="38" fontId="6" fillId="3" borderId="1" xfId="2" applyFont="1" applyFill="1" applyBorder="1" applyAlignment="1">
      <alignment vertical="top"/>
    </xf>
    <xf numFmtId="0" fontId="4" fillId="5" borderId="9" xfId="0" applyFont="1" applyFill="1" applyBorder="1" applyAlignment="1">
      <alignment horizontal="center" vertical="center"/>
    </xf>
    <xf numFmtId="38" fontId="4" fillId="0" borderId="9" xfId="0" applyNumberFormat="1" applyFont="1" applyBorder="1" applyAlignment="1">
      <alignment vertical="center"/>
    </xf>
    <xf numFmtId="0" fontId="9" fillId="6" borderId="10" xfId="0" applyFont="1" applyFill="1" applyBorder="1" applyAlignment="1">
      <alignment horizontal="center" vertical="center"/>
    </xf>
    <xf numFmtId="38" fontId="4" fillId="7" borderId="10" xfId="2" applyFont="1" applyFill="1" applyBorder="1">
      <alignment vertical="center"/>
    </xf>
    <xf numFmtId="0" fontId="4" fillId="5" borderId="10" xfId="0" applyFont="1" applyFill="1" applyBorder="1" applyAlignment="1">
      <alignment horizontal="center" vertical="center"/>
    </xf>
    <xf numFmtId="38" fontId="4" fillId="0" borderId="10" xfId="2" applyFont="1" applyFill="1" applyBorder="1">
      <alignment vertical="center"/>
    </xf>
    <xf numFmtId="38" fontId="4" fillId="0" borderId="10" xfId="2" applyFont="1" applyBorder="1">
      <alignment vertical="center"/>
    </xf>
    <xf numFmtId="0" fontId="4" fillId="5" borderId="12" xfId="0" applyFont="1" applyFill="1" applyBorder="1" applyAlignment="1">
      <alignment horizontal="center" vertical="center"/>
    </xf>
    <xf numFmtId="38" fontId="4" fillId="0" borderId="12" xfId="2" applyFont="1" applyBorder="1">
      <alignment vertical="center"/>
    </xf>
    <xf numFmtId="0" fontId="5" fillId="0" borderId="0" xfId="0" applyFont="1" applyAlignment="1">
      <alignment vertical="center"/>
    </xf>
    <xf numFmtId="0" fontId="9" fillId="4" borderId="8" xfId="0" applyFont="1" applyFill="1" applyBorder="1" applyAlignment="1">
      <alignment horizontal="center" vertical="center"/>
    </xf>
    <xf numFmtId="0" fontId="4" fillId="0" borderId="9" xfId="0" applyFont="1" applyBorder="1" applyAlignment="1">
      <alignment vertical="center"/>
    </xf>
    <xf numFmtId="38" fontId="4" fillId="0" borderId="9" xfId="2" applyFont="1" applyBorder="1">
      <alignment vertical="center"/>
    </xf>
    <xf numFmtId="0" fontId="4" fillId="0" borderId="10" xfId="0" applyFont="1" applyBorder="1" applyAlignment="1">
      <alignment vertical="center"/>
    </xf>
    <xf numFmtId="0" fontId="4" fillId="0" borderId="11" xfId="0" applyFont="1" applyBorder="1" applyAlignment="1">
      <alignment vertical="center"/>
    </xf>
    <xf numFmtId="0" fontId="4" fillId="0" borderId="12" xfId="0" applyFont="1" applyBorder="1" applyAlignment="1">
      <alignment vertical="center"/>
    </xf>
    <xf numFmtId="38" fontId="4" fillId="0" borderId="10" xfId="0" applyNumberFormat="1" applyFont="1" applyBorder="1" applyAlignment="1">
      <alignment vertical="center"/>
    </xf>
    <xf numFmtId="38" fontId="4" fillId="0" borderId="12" xfId="0" applyNumberFormat="1" applyFont="1" applyBorder="1" applyAlignment="1">
      <alignment vertical="center"/>
    </xf>
    <xf numFmtId="9" fontId="4" fillId="0" borderId="0" xfId="1" applyFont="1">
      <alignment vertical="center"/>
    </xf>
    <xf numFmtId="9" fontId="4" fillId="0" borderId="0" xfId="1" applyFont="1" applyAlignment="1">
      <alignment vertical="center"/>
    </xf>
    <xf numFmtId="0" fontId="5" fillId="0" borderId="0" xfId="0" applyFont="1"/>
    <xf numFmtId="9" fontId="4" fillId="0" borderId="5" xfId="1" applyFont="1" applyFill="1" applyBorder="1">
      <alignment vertical="center"/>
    </xf>
    <xf numFmtId="38" fontId="6" fillId="0" borderId="1" xfId="2" applyFont="1" applyFill="1" applyBorder="1" applyAlignment="1">
      <alignment vertical="top"/>
    </xf>
    <xf numFmtId="0" fontId="6" fillId="0" borderId="0" xfId="0" applyFont="1" applyAlignment="1">
      <alignment vertical="top"/>
    </xf>
    <xf numFmtId="38" fontId="6" fillId="0" borderId="0" xfId="2" applyFont="1" applyAlignment="1">
      <alignment vertical="top"/>
    </xf>
    <xf numFmtId="0" fontId="6" fillId="5" borderId="1" xfId="0" applyFont="1" applyFill="1" applyBorder="1" applyAlignment="1">
      <alignment vertical="top"/>
    </xf>
    <xf numFmtId="0" fontId="10" fillId="0" borderId="0" xfId="0" applyFont="1" applyAlignment="1">
      <alignment vertical="top"/>
    </xf>
    <xf numFmtId="38" fontId="7" fillId="0" borderId="0" xfId="2" applyFont="1" applyAlignment="1">
      <alignment vertical="top"/>
    </xf>
    <xf numFmtId="0" fontId="7" fillId="0" borderId="0" xfId="0" applyFont="1" applyAlignment="1">
      <alignment vertical="top"/>
    </xf>
    <xf numFmtId="0" fontId="7" fillId="2" borderId="1" xfId="0" applyFont="1" applyFill="1" applyBorder="1" applyAlignment="1">
      <alignment vertical="top"/>
    </xf>
    <xf numFmtId="38" fontId="7" fillId="2" borderId="1" xfId="2" applyFont="1" applyFill="1" applyBorder="1" applyAlignment="1">
      <alignment vertical="top"/>
    </xf>
    <xf numFmtId="0" fontId="7" fillId="0" borderId="1" xfId="0" applyFont="1" applyBorder="1" applyAlignment="1">
      <alignment vertical="top"/>
    </xf>
    <xf numFmtId="0" fontId="6" fillId="8" borderId="1" xfId="0" applyFont="1" applyFill="1" applyBorder="1" applyAlignment="1">
      <alignment horizontal="center"/>
    </xf>
    <xf numFmtId="0" fontId="4" fillId="8" borderId="1" xfId="0" applyFont="1" applyFill="1" applyBorder="1"/>
    <xf numFmtId="0" fontId="7" fillId="5" borderId="1" xfId="0" applyFont="1" applyFill="1" applyBorder="1" applyAlignment="1">
      <alignment vertical="top"/>
    </xf>
    <xf numFmtId="0" fontId="7" fillId="5" borderId="1" xfId="0" applyFont="1" applyFill="1" applyBorder="1" applyAlignment="1">
      <alignment vertical="top" wrapText="1"/>
    </xf>
    <xf numFmtId="0" fontId="6" fillId="5" borderId="1" xfId="0" applyFont="1" applyFill="1" applyBorder="1" applyAlignment="1">
      <alignment vertical="top" wrapText="1"/>
    </xf>
    <xf numFmtId="38" fontId="6" fillId="5" borderId="1" xfId="2" applyFont="1" applyFill="1" applyBorder="1" applyAlignment="1">
      <alignment vertical="top" wrapText="1"/>
    </xf>
    <xf numFmtId="38" fontId="7" fillId="5" borderId="1" xfId="2" applyFont="1" applyFill="1" applyBorder="1" applyAlignment="1">
      <alignment vertical="top"/>
    </xf>
    <xf numFmtId="38" fontId="6" fillId="5" borderId="1" xfId="2" applyFont="1" applyFill="1" applyBorder="1" applyAlignment="1">
      <alignment vertical="top"/>
    </xf>
    <xf numFmtId="9" fontId="7" fillId="2" borderId="1" xfId="1" applyFont="1" applyFill="1" applyBorder="1" applyAlignment="1">
      <alignment vertical="top"/>
    </xf>
    <xf numFmtId="38" fontId="6" fillId="9" borderId="1" xfId="2" applyFont="1" applyFill="1" applyBorder="1" applyAlignment="1">
      <alignment vertical="top"/>
    </xf>
    <xf numFmtId="38" fontId="7" fillId="9" borderId="1" xfId="2" applyFont="1" applyFill="1" applyBorder="1" applyAlignment="1">
      <alignment vertical="top"/>
    </xf>
    <xf numFmtId="38" fontId="6" fillId="10" borderId="1" xfId="2" applyFont="1" applyFill="1" applyBorder="1" applyAlignment="1">
      <alignment vertical="top"/>
    </xf>
    <xf numFmtId="0" fontId="4" fillId="0" borderId="13" xfId="0" applyFont="1" applyBorder="1" applyAlignment="1">
      <alignment vertical="center" wrapText="1"/>
    </xf>
    <xf numFmtId="0" fontId="6" fillId="2" borderId="1" xfId="0" applyFont="1" applyFill="1" applyBorder="1" applyAlignment="1">
      <alignment horizontal="center" vertical="top"/>
    </xf>
    <xf numFmtId="14" fontId="6" fillId="2" borderId="1" xfId="0" applyNumberFormat="1" applyFont="1" applyFill="1" applyBorder="1" applyAlignment="1">
      <alignment horizontal="center" vertical="top" wrapText="1"/>
    </xf>
    <xf numFmtId="0" fontId="4" fillId="0" borderId="0" xfId="0" applyFont="1" applyAlignment="1">
      <alignment vertical="top"/>
    </xf>
    <xf numFmtId="0" fontId="4" fillId="0" borderId="1" xfId="0" applyFont="1" applyBorder="1" applyAlignment="1">
      <alignment vertical="top"/>
    </xf>
    <xf numFmtId="0" fontId="4" fillId="0" borderId="1" xfId="0" applyFont="1" applyBorder="1" applyAlignment="1">
      <alignment vertical="top" wrapText="1"/>
    </xf>
    <xf numFmtId="0" fontId="4" fillId="0" borderId="13" xfId="0" applyFont="1" applyBorder="1" applyAlignment="1">
      <alignment vertical="top" wrapText="1"/>
    </xf>
    <xf numFmtId="0" fontId="4" fillId="0" borderId="0" xfId="0" applyFont="1" applyAlignment="1">
      <alignment vertical="top" wrapText="1"/>
    </xf>
    <xf numFmtId="0" fontId="4" fillId="11" borderId="1" xfId="0" applyFont="1" applyFill="1" applyBorder="1" applyAlignment="1">
      <alignment vertical="top"/>
    </xf>
    <xf numFmtId="0" fontId="4" fillId="11" borderId="1" xfId="0" applyFont="1" applyFill="1" applyBorder="1" applyAlignment="1">
      <alignment vertical="top" wrapText="1"/>
    </xf>
    <xf numFmtId="0" fontId="4" fillId="11" borderId="0" xfId="0" applyFont="1" applyFill="1" applyAlignment="1">
      <alignment vertical="top"/>
    </xf>
    <xf numFmtId="38" fontId="0" fillId="0" borderId="0" xfId="2" applyFont="1" applyAlignment="1"/>
    <xf numFmtId="0" fontId="4" fillId="9" borderId="1" xfId="0" applyFont="1" applyFill="1" applyBorder="1" applyAlignment="1">
      <alignment vertical="top"/>
    </xf>
    <xf numFmtId="0" fontId="0" fillId="0" borderId="0" xfId="0" pivotButton="1"/>
    <xf numFmtId="0" fontId="0" fillId="0" borderId="0" xfId="0" applyAlignment="1">
      <alignment horizontal="left"/>
    </xf>
    <xf numFmtId="38" fontId="4" fillId="0" borderId="6" xfId="2" applyFont="1" applyBorder="1">
      <alignment vertical="center"/>
    </xf>
    <xf numFmtId="0" fontId="4" fillId="0" borderId="14" xfId="0" applyFont="1" applyBorder="1" applyAlignment="1">
      <alignment vertical="center"/>
    </xf>
    <xf numFmtId="38" fontId="4" fillId="0" borderId="14" xfId="2" applyFont="1" applyBorder="1">
      <alignment vertical="center"/>
    </xf>
    <xf numFmtId="38" fontId="7" fillId="12" borderId="1" xfId="2" applyFont="1" applyFill="1" applyBorder="1" applyAlignment="1">
      <alignment vertical="top"/>
    </xf>
    <xf numFmtId="38" fontId="0" fillId="0" borderId="0" xfId="0" applyNumberFormat="1"/>
    <xf numFmtId="0" fontId="4" fillId="13" borderId="1" xfId="0" applyFont="1" applyFill="1" applyBorder="1" applyAlignment="1">
      <alignment vertical="top"/>
    </xf>
    <xf numFmtId="0" fontId="4" fillId="13" borderId="1" xfId="0" applyFont="1" applyFill="1" applyBorder="1" applyAlignment="1">
      <alignment vertical="top" wrapText="1"/>
    </xf>
    <xf numFmtId="0" fontId="4" fillId="13" borderId="0" xfId="0" applyFont="1" applyFill="1" applyAlignment="1">
      <alignment vertical="top"/>
    </xf>
    <xf numFmtId="0" fontId="12" fillId="0" borderId="0" xfId="0" applyFont="1"/>
    <xf numFmtId="0" fontId="12" fillId="0" borderId="0" xfId="0" applyFont="1" applyAlignment="1">
      <alignment wrapText="1"/>
    </xf>
    <xf numFmtId="0" fontId="12" fillId="0" borderId="15" xfId="0" applyFont="1" applyBorder="1" applyAlignment="1">
      <alignment wrapText="1"/>
    </xf>
    <xf numFmtId="0" fontId="12" fillId="0" borderId="15" xfId="0" applyFont="1" applyBorder="1"/>
    <xf numFmtId="41" fontId="12" fillId="0" borderId="15" xfId="0" applyNumberFormat="1" applyFont="1" applyBorder="1"/>
    <xf numFmtId="0" fontId="7" fillId="13" borderId="1" xfId="0" applyFont="1" applyFill="1" applyBorder="1" applyAlignment="1">
      <alignment vertical="top"/>
    </xf>
    <xf numFmtId="38" fontId="7" fillId="13" borderId="1" xfId="2" applyFont="1" applyFill="1" applyBorder="1" applyAlignment="1">
      <alignment vertical="top"/>
    </xf>
    <xf numFmtId="38" fontId="6" fillId="13" borderId="1" xfId="2" applyFont="1" applyFill="1" applyBorder="1" applyAlignment="1">
      <alignment vertical="top"/>
    </xf>
    <xf numFmtId="0" fontId="6" fillId="13" borderId="0" xfId="0" applyFont="1" applyFill="1" applyAlignment="1">
      <alignment vertical="top"/>
    </xf>
    <xf numFmtId="38" fontId="4" fillId="8" borderId="1" xfId="2" applyFont="1" applyFill="1" applyBorder="1" applyAlignment="1"/>
    <xf numFmtId="38" fontId="6" fillId="0" borderId="0" xfId="0" applyNumberFormat="1" applyFont="1" applyAlignment="1">
      <alignment vertical="top"/>
    </xf>
    <xf numFmtId="0" fontId="4" fillId="4" borderId="1" xfId="0" applyFont="1" applyFill="1" applyBorder="1"/>
    <xf numFmtId="38" fontId="4" fillId="4" borderId="1" xfId="2" applyFont="1" applyFill="1" applyBorder="1" applyAlignment="1"/>
    <xf numFmtId="0" fontId="12" fillId="0" borderId="15" xfId="0" applyFont="1" applyBorder="1" applyAlignment="1">
      <alignment wrapText="1"/>
    </xf>
  </cellXfs>
  <cellStyles count="3">
    <cellStyle name="パーセント" xfId="1" builtinId="5"/>
    <cellStyle name="桁区切り" xfId="2" builtinId="6"/>
    <cellStyle name="標準" xfId="0" builtinId="0"/>
  </cellStyles>
  <dxfs count="26">
    <dxf>
      <fill>
        <patternFill>
          <bgColor theme="0" tint="-0.499984740745262"/>
        </patternFill>
      </fill>
    </dxf>
    <dxf>
      <fill>
        <patternFill>
          <bgColor rgb="FFFFFF00"/>
        </patternFill>
      </fill>
    </dxf>
    <dxf>
      <fill>
        <patternFill>
          <bgColor theme="0" tint="-0.499984740745262"/>
        </patternFill>
      </fill>
    </dxf>
    <dxf>
      <fill>
        <patternFill>
          <bgColor theme="0" tint="-0.499984740745262"/>
        </patternFill>
      </fill>
    </dxf>
    <dxf>
      <fill>
        <patternFill>
          <bgColor rgb="FFFFFF00"/>
        </patternFill>
      </fill>
    </dxf>
    <dxf>
      <fill>
        <patternFill>
          <bgColor theme="0" tint="-0.499984740745262"/>
        </patternFill>
      </fill>
    </dxf>
    <dxf>
      <fill>
        <patternFill>
          <bgColor theme="0" tint="-0.499984740745262"/>
        </patternFill>
      </fill>
    </dxf>
    <dxf>
      <fill>
        <patternFill>
          <bgColor rgb="FFFFFF00"/>
        </patternFill>
      </fill>
    </dxf>
    <dxf>
      <fill>
        <patternFill>
          <bgColor theme="0" tint="-0.499984740745262"/>
        </patternFill>
      </fill>
    </dxf>
    <dxf>
      <fill>
        <patternFill>
          <bgColor theme="0" tint="-0.499984740745262"/>
        </patternFill>
      </fill>
    </dxf>
    <dxf>
      <fill>
        <patternFill>
          <bgColor rgb="FFFFFF00"/>
        </patternFill>
      </fill>
    </dxf>
    <dxf>
      <fill>
        <patternFill>
          <bgColor theme="0" tint="-0.499984740745262"/>
        </patternFill>
      </fill>
    </dxf>
    <dxf>
      <fill>
        <patternFill>
          <bgColor theme="0" tint="-0.499984740745262"/>
        </patternFill>
      </fill>
    </dxf>
    <dxf>
      <fill>
        <patternFill>
          <bgColor rgb="FFFFFF00"/>
        </patternFill>
      </fill>
    </dxf>
    <dxf>
      <fill>
        <patternFill>
          <bgColor theme="0" tint="-0.499984740745262"/>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numFmt numFmtId="6" formatCode="#,##0;[Red]\-#,##0"/>
    </dxf>
  </dxfs>
  <tableStyles count="0" defaultTableStyle="TableStyleMedium2" defaultPivotStyle="PivotStyleLight16"/>
  <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9&#26399;&#12467;&#12531;&#12469;&#12523;&#20107;&#26989;&#22770;&#19978;&#31649;&#29702;.xlsx#BgEIDA4ADAMGBAcBBAQECw=131.0"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森 啓亮" refreshedDate="45951.71949826389" createdVersion="8" refreshedVersion="8" minRefreshableVersion="3" recordCount="100" xr:uid="{BDD6E9CA-5E1D-4B5A-BB27-E9945D29F48E}">
  <cacheSource type="worksheet">
    <worksheetSource ref="B4:Z104" sheet="【入力用②】案件ごと売上（D案件以上）" r:id="rId2"/>
  </cacheSource>
  <cacheFields count="25">
    <cacheField name="案件No" numFmtId="0">
      <sharedItems containsBlank="1" containsMixedTypes="1" containsNumber="1" containsInteger="1" minValue="1" maxValue="43"/>
    </cacheField>
    <cacheField name="クライアント名" numFmtId="0">
      <sharedItems containsBlank="1"/>
    </cacheField>
    <cacheField name="案件名" numFmtId="0">
      <sharedItems containsBlank="1"/>
    </cacheField>
    <cacheField name="PIVOT用_PJ管理" numFmtId="0">
      <sharedItems count="209">
        <s v="01_伊藤ハム米久ホールディングス_エンゲージメント向上PJT"/>
        <s v="02_パラドックス_森の歩き方実装支援"/>
        <s v="03_日本総研_キャリア入社者課題分析"/>
        <s v="04_田島ルーフィング_推せる職場診断"/>
        <s v="05_YAMAGATA_新事業立ち上げ支援"/>
        <s v="06_豊田通商_人事KPI"/>
        <s v="07_豊田通商_メタルプラス"/>
        <s v="08_OKI_人材面を主とした組織診断"/>
        <s v="09_宮﨑製鋼_エンゲージメントサーベイ"/>
        <s v="10_オムロンエキスパートエンジニアリング_データ分析"/>
        <s v="11_MSプライマリー_エンゲージメントサーベイ"/>
        <s v="12_アートプレスト_2025年上期人事施策実行支援"/>
        <s v="13_アートプレスト_2025年下期人事施策実行支援"/>
        <s v="14_アートプレスト_経営層候補者向け研修実行支援"/>
        <s v="15_アートプレスト_役員研修"/>
        <s v="16_JALUX_ビジネス変革Community"/>
        <s v="17_JALUX_業務効率化"/>
        <s v="18_パラマウントベッド_管理職WS＆部門幹部ディスカッション"/>
        <s v="19_asics_HRBP支援"/>
        <s v="20_コメダ_FC対応力向上"/>
        <s v="21_ローソンエンタテインメント_人事制度・育成概要設計"/>
        <s v="22_オーネスト_MVV浸透支援Phase3"/>
        <s v="23_BeeX_Aプロジェクト"/>
        <s v="24_ひらまつ_キャリアパス設計"/>
        <s v="25_パラマウントベッド_女性社員交流会 企画支援"/>
        <s v="26_西武HD_オンボーディング・OJT企画"/>
        <s v="27_PHCホールディングス_オンボ・採用支援（中長期含）"/>
        <s v="28_安田工業_人事戦略検討"/>
        <s v="29_パラマウントベッド_女性社員交流会 キックオフイベント支援"/>
        <s v="30_パラマウントベッド_女性社員交流会_女性キャリア研修"/>
        <s v="31_パーソルクロステクノロジー_社内広報業務支援"/>
        <s v="32_ソフトバンク_スキルマップ作成"/>
        <s v="33_田島ルーフィング_推せる職場診断"/>
        <s v="34_インテージテクノスフィア_経営層向けレポート作成支援_Phase1"/>
        <s v="35_ソフトバンク_スキルマップ作成"/>
        <s v="36_パラドックス_森の歩き方実装支援（10月以降）"/>
        <s v="37_リンクシェア・ジャパン_早期戦力化へのオンボーディングプログラム設計"/>
        <s v="38_本田技術研究所_女性研究職社員の定着へ向けた課題分析・施策立案"/>
        <s v="39_asics_製造現場の業務効率化"/>
        <s v="40_三井情報_人材マネジメントアドバイザリー"/>
        <s v="41_トヨタコネクティッド_オンボーディング施策設計"/>
        <s v="42_オーネスト_組織開発5か年計画(初年度)"/>
        <s v="43_一条工務店_育成体系"/>
        <s v="__"/>
        <s v="*"/>
        <s v="28_パラマウントベッド_女性社員交流会 キックオフMTG" u="1"/>
        <s v="29_安田工業_人事戦略検討" u="1"/>
        <s v="30_パラマウントベッド_女性社員交流会 キックオフイベント支援" u="1"/>
        <s v="24_ひらまつ_Bプロジェクト" u="1"/>
        <s v="30__" u="1"/>
        <s v="31__" u="1"/>
        <s v="32__" u="1"/>
        <s v="33__" u="1"/>
        <s v="34__" u="1"/>
        <s v="35__" u="1"/>
        <s v="36__" u="1"/>
        <s v="37__" u="1"/>
        <s v="38__" u="1"/>
        <s v="39__" u="1"/>
        <s v="40__" u="1"/>
        <s v="41__" u="1"/>
        <s v="42__" u="1"/>
        <s v="43__" u="1"/>
        <s v="44__" u="1"/>
        <s v="45__" u="1"/>
        <s v="46__" u="1"/>
        <s v="47__" u="1"/>
        <s v="48__" u="1"/>
        <s v="49__" u="1"/>
        <s v="50__" u="1"/>
        <s v="51__" u="1"/>
        <s v="52__" u="1"/>
        <s v="53__" u="1"/>
        <s v="54__" u="1"/>
        <s v="55__" u="1"/>
        <s v="56__" u="1"/>
        <s v="57__" u="1"/>
        <s v="58__" u="1"/>
        <s v="59__" u="1"/>
        <s v="60__" u="1"/>
        <s v="61__" u="1"/>
        <s v="62__" u="1"/>
        <s v="63__" u="1"/>
        <s v="64__" u="1"/>
        <s v="65__" u="1"/>
        <s v="66__" u="1"/>
        <s v="67__" u="1"/>
        <s v="68__" u="1"/>
        <s v="69__" u="1"/>
        <s v="70__" u="1"/>
        <s v="71__" u="1"/>
        <s v="72__" u="1"/>
        <s v="73__" u="1"/>
        <s v="74__" u="1"/>
        <s v="75__" u="1"/>
        <s v="76__" u="1"/>
        <s v="77__" u="1"/>
        <s v="78__" u="1"/>
        <s v="79__" u="1"/>
        <s v="80__" u="1"/>
        <s v="81__" u="1"/>
        <s v="82__" u="1"/>
        <s v="83__" u="1"/>
        <s v="84__" u="1"/>
        <s v="85__" u="1"/>
        <s v="86__" u="1"/>
        <s v="87__" u="1"/>
        <s v="88__" u="1"/>
        <s v="89__" u="1"/>
        <s v="90__" u="1"/>
        <s v="91__" u="1"/>
        <s v="92__" u="1"/>
        <s v="93__" u="1"/>
        <s v="94__" u="1"/>
        <s v="95__" u="1"/>
        <s v="96__" u="1"/>
        <s v="97__" u="1"/>
        <s v="98__" u="1"/>
        <s v="99__" u="1"/>
        <s v="010_オムロンエキスパートエンジニアリング_データ分析" u="1"/>
        <s v="011_MSプライマリー_エンゲージメントサーベイ" u="1"/>
        <s v="012_アートプレスト_2025年上期人事施策実行支援" u="1"/>
        <s v="013_アートプレスト_2025年下期人事施策実行支援" u="1"/>
        <s v="014_アートプレスト_経営層候補者向け研修実行支援" u="1"/>
        <s v="015_アートプレスト_役員研修" u="1"/>
        <s v="016_JALUX_ビジネス変革Community" u="1"/>
        <s v="017_JALUX_業務効率化" u="1"/>
        <s v="018_パラマウントベッド_管理職WS＆部門幹部ディスカッション" u="1"/>
        <s v="019_asics_HRBP支援" u="1"/>
        <s v="020_コメダ_FC対応力向上" u="1"/>
        <s v="021_ローソンエンタテインメント_人事制度・育成概要設計" u="1"/>
        <s v="022_オーネスト_MVV浸透支援Phase3" u="1"/>
        <s v="023_BeeX_Aプロジェクト" u="1"/>
        <s v="024_ひらまつ_Bプロジェクト" u="1"/>
        <s v="025_パラマウントベッド_女性社員交流会 企画支援" u="1"/>
        <s v="026_西武HD_オンボーディング・OJT企画" u="1"/>
        <s v="027_PHCホールディングス_オンボ・採用支援（中長期含）" u="1"/>
        <s v="028_パラマウントベッド_女性社員交流会 キックオフMTG" u="1"/>
        <s v="029_安田工業_人事戦略検討" u="1"/>
        <s v="030__" u="1"/>
        <s v="031__" u="1"/>
        <s v="032__" u="1"/>
        <s v="033__" u="1"/>
        <s v="034__" u="1"/>
        <s v="035__" u="1"/>
        <s v="036__" u="1"/>
        <s v="037__" u="1"/>
        <s v="038__" u="1"/>
        <s v="039__" u="1"/>
        <s v="040__" u="1"/>
        <s v="041__" u="1"/>
        <s v="042__" u="1"/>
        <s v="043__" u="1"/>
        <s v="044__" u="1"/>
        <s v="045__" u="1"/>
        <s v="046__" u="1"/>
        <s v="047__" u="1"/>
        <s v="048__" u="1"/>
        <s v="049__" u="1"/>
        <s v="050__" u="1"/>
        <s v="051__" u="1"/>
        <s v="052__" u="1"/>
        <s v="053__" u="1"/>
        <s v="054__" u="1"/>
        <s v="055__" u="1"/>
        <s v="056__" u="1"/>
        <s v="057__" u="1"/>
        <s v="058__" u="1"/>
        <s v="059__" u="1"/>
        <s v="060__" u="1"/>
        <s v="061__" u="1"/>
        <s v="062__" u="1"/>
        <s v="063__" u="1"/>
        <s v="064__" u="1"/>
        <s v="065__" u="1"/>
        <s v="066__" u="1"/>
        <s v="067__" u="1"/>
        <s v="068__" u="1"/>
        <s v="069__" u="1"/>
        <s v="070__" u="1"/>
        <s v="071__" u="1"/>
        <s v="072__" u="1"/>
        <s v="073__" u="1"/>
        <s v="074__" u="1"/>
        <s v="075__" u="1"/>
        <s v="076__" u="1"/>
        <s v="077__" u="1"/>
        <s v="078__" u="1"/>
        <s v="079__" u="1"/>
        <s v="080__" u="1"/>
        <s v="081__" u="1"/>
        <s v="082__" u="1"/>
        <s v="083__" u="1"/>
        <s v="084__" u="1"/>
        <s v="085__" u="1"/>
        <s v="086__" u="1"/>
        <s v="087__" u="1"/>
        <s v="088__" u="1"/>
        <s v="089__" u="1"/>
        <s v="090__" u="1"/>
        <s v="091__" u="1"/>
        <s v="092__" u="1"/>
        <s v="093__" u="1"/>
        <s v="094__" u="1"/>
        <s v="095__" u="1"/>
        <s v="096__" u="1"/>
        <s v="097__" u="1"/>
        <s v="098__" u="1"/>
        <s v="099__" u="1"/>
      </sharedItems>
    </cacheField>
    <cacheField name="案件種類" numFmtId="0">
      <sharedItems containsBlank="1"/>
    </cacheField>
    <cacheField name="確度" numFmtId="0">
      <sharedItems containsBlank="1" count="7">
        <s v="成立"/>
        <s v="D"/>
        <s v="失注"/>
        <s v="A"/>
        <s v="C"/>
        <m/>
        <s v="*"/>
      </sharedItems>
    </cacheField>
    <cacheField name="PIC" numFmtId="0">
      <sharedItems containsBlank="1"/>
    </cacheField>
    <cacheField name="9期分_x000a_PJ全体売上_x000a_（千円）" numFmtId="0">
      <sharedItems containsBlank="1" containsMixedTypes="1" containsNumber="1" containsInteger="1" minValue="100" maxValue="37900"/>
    </cacheField>
    <cacheField name="月別売上合計_x000a_（千円）" numFmtId="0">
      <sharedItems containsBlank="1" containsMixedTypes="1" containsNumber="1" containsInteger="1" minValue="0" maxValue="37900"/>
    </cacheField>
    <cacheField name="差額" numFmtId="0">
      <sharedItems containsBlank="1" containsMixedTypes="1" containsNumber="1" containsInteger="1" minValue="0" maxValue="2250"/>
    </cacheField>
    <cacheField name="期間_x000a_(月)" numFmtId="0">
      <sharedItems containsBlank="1" containsMixedTypes="1" containsNumber="1" minValue="1" maxValue="6"/>
    </cacheField>
    <cacheField name="月単価_x000a_(千円)" numFmtId="0">
      <sharedItems containsMixedTypes="1" containsNumber="1" minValue="100" maxValue="6700"/>
    </cacheField>
    <cacheField name="9月" numFmtId="0">
      <sharedItems containsBlank="1" containsMixedTypes="1" containsNumber="1" containsInteger="1" minValue="140" maxValue="6700"/>
    </cacheField>
    <cacheField name="10月" numFmtId="0">
      <sharedItems containsBlank="1" containsMixedTypes="1" containsNumber="1" containsInteger="1" minValue="100" maxValue="8000"/>
    </cacheField>
    <cacheField name="11月" numFmtId="0">
      <sharedItems containsBlank="1" containsMixedTypes="1" containsNumber="1" containsInteger="1" minValue="117" maxValue="7800"/>
    </cacheField>
    <cacheField name="12月" numFmtId="0">
      <sharedItems containsBlank="1" containsMixedTypes="1" containsNumber="1" containsInteger="1" minValue="132" maxValue="5900"/>
    </cacheField>
    <cacheField name="1月" numFmtId="0">
      <sharedItems containsBlank="1" containsMixedTypes="1" containsNumber="1" containsInteger="1" minValue="300" maxValue="6100"/>
    </cacheField>
    <cacheField name="2月" numFmtId="0">
      <sharedItems containsBlank="1" containsMixedTypes="1" containsNumber="1" containsInteger="1" minValue="300" maxValue="5800"/>
    </cacheField>
    <cacheField name="3月" numFmtId="0">
      <sharedItems containsBlank="1" containsMixedTypes="1" containsNumber="1" containsInteger="1" minValue="300" maxValue="4300"/>
    </cacheField>
    <cacheField name="4月" numFmtId="0">
      <sharedItems containsBlank="1" containsMixedTypes="1" containsNumber="1" containsInteger="1" minValue="1000" maxValue="1000"/>
    </cacheField>
    <cacheField name="5月" numFmtId="0">
      <sharedItems containsBlank="1" containsMixedTypes="1" containsNumber="1" containsInteger="1" minValue="2000" maxValue="2000"/>
    </cacheField>
    <cacheField name="6月" numFmtId="0">
      <sharedItems containsBlank="1" containsMixedTypes="1" containsNumber="1" containsInteger="1" minValue="2000" maxValue="2000"/>
    </cacheField>
    <cacheField name="7月" numFmtId="0">
      <sharedItems containsBlank="1"/>
    </cacheField>
    <cacheField name="8月" numFmtId="0">
      <sharedItems containsBlank="1"/>
    </cacheField>
    <cacheField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s v="伊藤ハム米久ホールディングス"/>
    <s v="エンゲージメント向上PJT"/>
    <x v="0"/>
    <s v="組織開発"/>
    <x v="0"/>
    <s v="啓亮"/>
    <n v="550"/>
    <n v="550"/>
    <n v="0"/>
    <n v="1"/>
    <n v="550"/>
    <n v="550"/>
    <m/>
    <m/>
    <m/>
    <m/>
    <m/>
    <m/>
    <m/>
    <m/>
    <m/>
    <m/>
    <m/>
    <s v="*"/>
  </r>
  <r>
    <n v="2"/>
    <s v="パラドックス"/>
    <s v="森の歩き方実装支援"/>
    <x v="1"/>
    <s v="人材育成"/>
    <x v="0"/>
    <s v="啓亮"/>
    <n v="300"/>
    <n v="300"/>
    <n v="0"/>
    <n v="1"/>
    <n v="300"/>
    <n v="300"/>
    <m/>
    <m/>
    <m/>
    <m/>
    <m/>
    <m/>
    <m/>
    <m/>
    <m/>
    <m/>
    <m/>
    <s v="*"/>
  </r>
  <r>
    <n v="3"/>
    <s v="日本総研"/>
    <s v="キャリア入社者課題分析"/>
    <x v="2"/>
    <s v="人材育成"/>
    <x v="0"/>
    <s v="啓亮"/>
    <n v="600"/>
    <n v="600"/>
    <n v="0"/>
    <n v="1"/>
    <n v="600"/>
    <n v="600"/>
    <m/>
    <m/>
    <m/>
    <m/>
    <m/>
    <m/>
    <m/>
    <m/>
    <m/>
    <m/>
    <m/>
    <s v="*"/>
  </r>
  <r>
    <n v="4"/>
    <s v="田島ルーフィング"/>
    <s v="推せる職場診断"/>
    <x v="3"/>
    <s v="組織開発"/>
    <x v="1"/>
    <s v="啓亮"/>
    <m/>
    <n v="0"/>
    <n v="0"/>
    <m/>
    <s v="-"/>
    <m/>
    <m/>
    <m/>
    <m/>
    <m/>
    <m/>
    <m/>
    <m/>
    <m/>
    <m/>
    <m/>
    <m/>
    <s v="*"/>
  </r>
  <r>
    <n v="5"/>
    <s v="YAMAGATA"/>
    <s v="新事業立ち上げ支援"/>
    <x v="4"/>
    <s v="その他"/>
    <x v="0"/>
    <s v="丸田"/>
    <n v="14500"/>
    <n v="14500"/>
    <n v="0"/>
    <n v="4"/>
    <n v="3625"/>
    <n v="3700"/>
    <n v="3600"/>
    <n v="3600"/>
    <n v="3600"/>
    <m/>
    <m/>
    <m/>
    <m/>
    <m/>
    <m/>
    <m/>
    <m/>
    <s v="*"/>
  </r>
  <r>
    <n v="6"/>
    <s v="豊田通商"/>
    <s v="人事KPI"/>
    <x v="5"/>
    <s v="その他"/>
    <x v="2"/>
    <s v="波多野"/>
    <n v="6000"/>
    <n v="6000"/>
    <n v="0"/>
    <n v="3"/>
    <n v="2000"/>
    <n v="2000"/>
    <n v="2000"/>
    <n v="2000"/>
    <m/>
    <m/>
    <m/>
    <m/>
    <m/>
    <m/>
    <m/>
    <m/>
    <m/>
    <s v="*"/>
  </r>
  <r>
    <n v="7"/>
    <s v="豊田通商"/>
    <s v="メタルプラス"/>
    <x v="6"/>
    <s v="その他"/>
    <x v="3"/>
    <s v="波多野"/>
    <n v="6750"/>
    <n v="6750"/>
    <n v="0"/>
    <n v="3"/>
    <n v="2250"/>
    <m/>
    <n v="2250"/>
    <n v="2250"/>
    <n v="2250"/>
    <m/>
    <m/>
    <m/>
    <m/>
    <m/>
    <m/>
    <m/>
    <m/>
    <s v="*"/>
  </r>
  <r>
    <n v="8"/>
    <s v="OKI"/>
    <s v="人材面を主とした組織診断"/>
    <x v="7"/>
    <s v="その他"/>
    <x v="0"/>
    <s v="芹澤"/>
    <n v="4000"/>
    <n v="4000"/>
    <n v="0"/>
    <n v="3.5"/>
    <n v="1142.8571428571429"/>
    <n v="2000"/>
    <n v="2000"/>
    <m/>
    <m/>
    <m/>
    <m/>
    <m/>
    <m/>
    <m/>
    <m/>
    <m/>
    <m/>
    <s v="*"/>
  </r>
  <r>
    <n v="9"/>
    <s v="宮﨑製鋼"/>
    <s v="エンゲージメントサーベイ"/>
    <x v="8"/>
    <s v="その他"/>
    <x v="0"/>
    <s v="芹澤"/>
    <n v="500"/>
    <n v="500"/>
    <n v="0"/>
    <n v="3"/>
    <n v="166.66666666666666"/>
    <n v="140"/>
    <n v="360"/>
    <m/>
    <m/>
    <m/>
    <m/>
    <m/>
    <m/>
    <m/>
    <m/>
    <m/>
    <m/>
    <s v="*"/>
  </r>
  <r>
    <n v="10"/>
    <s v="オムロンエキスパートエンジニアリング"/>
    <s v="データ分析"/>
    <x v="9"/>
    <s v="その他"/>
    <x v="3"/>
    <s v="芹澤"/>
    <n v="2000"/>
    <n v="2000"/>
    <n v="0"/>
    <n v="3"/>
    <n v="666.66666666666663"/>
    <m/>
    <n v="500"/>
    <n v="500"/>
    <n v="1000"/>
    <m/>
    <m/>
    <m/>
    <m/>
    <m/>
    <m/>
    <m/>
    <m/>
    <s v="*"/>
  </r>
  <r>
    <n v="11"/>
    <s v="MSプライマリー"/>
    <s v="エンゲージメントサーベイ"/>
    <x v="10"/>
    <s v="その他"/>
    <x v="3"/>
    <s v="芹澤"/>
    <n v="7000"/>
    <n v="7000"/>
    <n v="0"/>
    <n v="4"/>
    <n v="1750"/>
    <n v="2000"/>
    <n v="1500"/>
    <n v="1500"/>
    <n v="2000"/>
    <m/>
    <m/>
    <m/>
    <m/>
    <m/>
    <m/>
    <m/>
    <m/>
    <s v="*"/>
  </r>
  <r>
    <n v="12"/>
    <s v="アートプレスト"/>
    <s v="2025年上期人事施策実行支援"/>
    <x v="11"/>
    <s v="その他"/>
    <x v="0"/>
    <s v="友祐"/>
    <n v="6700"/>
    <n v="6700"/>
    <n v="0"/>
    <n v="1"/>
    <n v="6700"/>
    <n v="6700"/>
    <m/>
    <m/>
    <m/>
    <m/>
    <m/>
    <m/>
    <m/>
    <m/>
    <m/>
    <m/>
    <m/>
    <s v="*"/>
  </r>
  <r>
    <n v="13"/>
    <s v="アートプレスト"/>
    <s v="2025年下期人事施策実行支援"/>
    <x v="12"/>
    <s v="その他"/>
    <x v="0"/>
    <s v="友祐"/>
    <n v="37900"/>
    <n v="37900"/>
    <n v="0"/>
    <n v="6"/>
    <n v="6316.666666666667"/>
    <m/>
    <n v="8000"/>
    <n v="7800"/>
    <n v="5900"/>
    <n v="6100"/>
    <n v="5800"/>
    <n v="4300"/>
    <m/>
    <m/>
    <m/>
    <m/>
    <m/>
    <s v="*"/>
  </r>
  <r>
    <n v="14"/>
    <s v="アートプレスト"/>
    <s v="経営層候補者向け研修実行支援"/>
    <x v="13"/>
    <s v="人材育成"/>
    <x v="0"/>
    <s v="友祐"/>
    <n v="250"/>
    <n v="250"/>
    <n v="0"/>
    <n v="1"/>
    <n v="250"/>
    <m/>
    <m/>
    <n v="250"/>
    <m/>
    <m/>
    <m/>
    <m/>
    <m/>
    <m/>
    <m/>
    <m/>
    <m/>
    <s v="*"/>
  </r>
  <r>
    <n v="15"/>
    <s v="アートプレスト"/>
    <s v="役員研修"/>
    <x v="14"/>
    <s v="人材育成"/>
    <x v="0"/>
    <s v="友祐"/>
    <n v="100"/>
    <n v="100"/>
    <n v="0"/>
    <n v="1"/>
    <n v="100"/>
    <m/>
    <n v="100"/>
    <m/>
    <m/>
    <m/>
    <m/>
    <m/>
    <m/>
    <m/>
    <m/>
    <m/>
    <m/>
    <s v="*"/>
  </r>
  <r>
    <n v="16"/>
    <s v="JALUX"/>
    <s v="ビジネス変革Community"/>
    <x v="15"/>
    <s v="その他"/>
    <x v="0"/>
    <s v="森田"/>
    <n v="750"/>
    <n v="750"/>
    <n v="0"/>
    <n v="1"/>
    <n v="750"/>
    <m/>
    <n v="750"/>
    <m/>
    <m/>
    <m/>
    <m/>
    <m/>
    <m/>
    <m/>
    <m/>
    <m/>
    <m/>
    <s v="*"/>
  </r>
  <r>
    <n v="17"/>
    <s v="JALUX"/>
    <s v="業務効率化"/>
    <x v="16"/>
    <s v="その他"/>
    <x v="0"/>
    <s v="森田"/>
    <n v="2300"/>
    <n v="920"/>
    <n v="1380"/>
    <n v="4"/>
    <n v="575"/>
    <n v="480"/>
    <n v="440"/>
    <m/>
    <m/>
    <m/>
    <m/>
    <m/>
    <m/>
    <m/>
    <m/>
    <m/>
    <m/>
    <s v="*"/>
  </r>
  <r>
    <n v="18"/>
    <s v="パラマウントベッド"/>
    <s v="管理職WS＆部門幹部ディスカッション"/>
    <x v="17"/>
    <s v="その他"/>
    <x v="0"/>
    <s v="丸田"/>
    <n v="4470"/>
    <n v="2681"/>
    <n v="1789"/>
    <n v="4"/>
    <n v="1117.5"/>
    <m/>
    <n v="1881"/>
    <m/>
    <n v="800"/>
    <m/>
    <m/>
    <m/>
    <m/>
    <m/>
    <m/>
    <m/>
    <m/>
    <s v="*"/>
  </r>
  <r>
    <n v="19"/>
    <s v="asics"/>
    <s v="HRBP支援"/>
    <x v="18"/>
    <s v="組織開発"/>
    <x v="0"/>
    <s v="森田"/>
    <n v="400"/>
    <n v="400"/>
    <n v="0"/>
    <n v="1"/>
    <n v="400"/>
    <n v="400"/>
    <m/>
    <m/>
    <m/>
    <m/>
    <m/>
    <m/>
    <m/>
    <m/>
    <m/>
    <m/>
    <m/>
    <s v="*"/>
  </r>
  <r>
    <n v="20"/>
    <s v="コメダ"/>
    <s v="FC対応力向上"/>
    <x v="19"/>
    <s v="人材育成"/>
    <x v="0"/>
    <s v="森田"/>
    <n v="2000"/>
    <n v="2000"/>
    <n v="0"/>
    <n v="3"/>
    <n v="666.66666666666663"/>
    <n v="600"/>
    <n v="600"/>
    <n v="800"/>
    <m/>
    <m/>
    <m/>
    <m/>
    <m/>
    <m/>
    <m/>
    <m/>
    <m/>
    <s v="*"/>
  </r>
  <r>
    <n v="21"/>
    <s v="ローソンエンタテインメント"/>
    <s v="人事制度・育成概要設計"/>
    <x v="20"/>
    <s v="その他"/>
    <x v="0"/>
    <s v="小川"/>
    <n v="12300"/>
    <n v="12300"/>
    <n v="0"/>
    <n v="6"/>
    <n v="2050"/>
    <n v="2050"/>
    <n v="2050"/>
    <n v="2050"/>
    <n v="2050"/>
    <n v="2050"/>
    <n v="2050"/>
    <m/>
    <m/>
    <m/>
    <m/>
    <m/>
    <m/>
    <s v="*"/>
  </r>
  <r>
    <n v="22"/>
    <s v="オーネスト"/>
    <s v="MVV浸透支援Phase3"/>
    <x v="21"/>
    <s v="組織開発"/>
    <x v="0"/>
    <s v="森田"/>
    <n v="1300"/>
    <n v="1300"/>
    <n v="0"/>
    <n v="1"/>
    <n v="1300"/>
    <n v="1300"/>
    <m/>
    <m/>
    <m/>
    <m/>
    <m/>
    <m/>
    <m/>
    <m/>
    <m/>
    <m/>
    <m/>
    <s v="*"/>
  </r>
  <r>
    <n v="23"/>
    <s v="BeeX"/>
    <s v="Aプロジェクト"/>
    <x v="22"/>
    <s v="人材育成"/>
    <x v="1"/>
    <s v="啓亮"/>
    <n v="4500"/>
    <n v="4500"/>
    <n v="0"/>
    <n v="3"/>
    <n v="1500"/>
    <m/>
    <n v="1500"/>
    <n v="1500"/>
    <n v="1500"/>
    <m/>
    <m/>
    <m/>
    <m/>
    <m/>
    <m/>
    <m/>
    <m/>
    <s v="*"/>
  </r>
  <r>
    <n v="24"/>
    <s v="ひらまつ"/>
    <s v="キャリアパス設計"/>
    <x v="23"/>
    <s v="人材育成"/>
    <x v="1"/>
    <s v="啓亮"/>
    <n v="9000"/>
    <n v="9000"/>
    <n v="0"/>
    <n v="6"/>
    <n v="1500"/>
    <m/>
    <n v="1500"/>
    <n v="1500"/>
    <n v="1500"/>
    <n v="1500"/>
    <n v="1500"/>
    <n v="1500"/>
    <m/>
    <m/>
    <m/>
    <m/>
    <m/>
    <s v="*"/>
  </r>
  <r>
    <n v="25"/>
    <s v="パラマウントベッド"/>
    <s v="女性社員交流会 企画支援"/>
    <x v="24"/>
    <s v="その他"/>
    <x v="0"/>
    <s v="丸田"/>
    <n v="500"/>
    <n v="500"/>
    <n v="0"/>
    <n v="1"/>
    <n v="500"/>
    <n v="500"/>
    <m/>
    <m/>
    <m/>
    <m/>
    <m/>
    <m/>
    <m/>
    <m/>
    <m/>
    <m/>
    <m/>
    <s v="*"/>
  </r>
  <r>
    <n v="26"/>
    <s v="西武HD"/>
    <s v="オンボーディング・OJT企画"/>
    <x v="25"/>
    <s v="その他"/>
    <x v="2"/>
    <s v="小川"/>
    <n v="2000"/>
    <n v="2000"/>
    <n v="0"/>
    <n v="3"/>
    <n v="666.66666666666663"/>
    <m/>
    <n v="1000"/>
    <n v="1000"/>
    <m/>
    <m/>
    <m/>
    <m/>
    <m/>
    <m/>
    <m/>
    <m/>
    <m/>
    <s v="*"/>
  </r>
  <r>
    <n v="27"/>
    <s v="PHCホールディングス"/>
    <s v="オンボ・採用支援（中長期含）"/>
    <x v="26"/>
    <s v="その他"/>
    <x v="4"/>
    <s v="小川"/>
    <n v="6000"/>
    <n v="6000"/>
    <n v="0"/>
    <n v="3"/>
    <n v="2000"/>
    <m/>
    <n v="2000"/>
    <n v="2000"/>
    <n v="2000"/>
    <m/>
    <m/>
    <m/>
    <m/>
    <m/>
    <m/>
    <m/>
    <m/>
    <s v="*"/>
  </r>
  <r>
    <n v="28"/>
    <s v="安田工業"/>
    <s v="人事戦略検討"/>
    <x v="27"/>
    <s v="その他"/>
    <x v="1"/>
    <s v="小川"/>
    <n v="12000"/>
    <n v="12000"/>
    <n v="0"/>
    <n v="6"/>
    <n v="2000"/>
    <m/>
    <n v="2000"/>
    <n v="2000"/>
    <n v="2000"/>
    <n v="2000"/>
    <n v="2000"/>
    <n v="2000"/>
    <m/>
    <m/>
    <m/>
    <m/>
    <m/>
    <s v="*"/>
  </r>
  <r>
    <n v="29"/>
    <s v="パラマウントベッド"/>
    <s v="女性社員交流会 キックオフイベント支援"/>
    <x v="28"/>
    <s v="その他"/>
    <x v="3"/>
    <s v="丸田"/>
    <n v="700"/>
    <n v="280"/>
    <n v="420"/>
    <n v="1"/>
    <n v="700"/>
    <m/>
    <n v="280"/>
    <m/>
    <m/>
    <m/>
    <m/>
    <m/>
    <m/>
    <m/>
    <m/>
    <m/>
    <m/>
    <s v="*"/>
  </r>
  <r>
    <n v="30"/>
    <s v="パラマウントベッド"/>
    <s v="女性社員交流会_女性キャリア研修"/>
    <x v="29"/>
    <s v="その他"/>
    <x v="3"/>
    <s v="丸田"/>
    <n v="1246"/>
    <n v="249"/>
    <n v="997"/>
    <n v="2"/>
    <n v="623"/>
    <m/>
    <m/>
    <n v="117"/>
    <n v="132"/>
    <m/>
    <m/>
    <m/>
    <m/>
    <m/>
    <m/>
    <m/>
    <m/>
    <s v="*"/>
  </r>
  <r>
    <n v="31"/>
    <s v="パーソルクロステクノロジー"/>
    <s v="社内広報業務支援"/>
    <x v="30"/>
    <s v="組織開発"/>
    <x v="0"/>
    <s v="丸田"/>
    <n v="2250"/>
    <n v="0"/>
    <n v="2250"/>
    <n v="3"/>
    <n v="750"/>
    <m/>
    <m/>
    <m/>
    <m/>
    <m/>
    <m/>
    <m/>
    <m/>
    <m/>
    <m/>
    <m/>
    <m/>
    <s v="*"/>
  </r>
  <r>
    <n v="32"/>
    <s v="ソフトバンク"/>
    <s v="スキルマップ作成"/>
    <x v="31"/>
    <s v="人材育成"/>
    <x v="1"/>
    <s v="啓亮"/>
    <n v="4500"/>
    <n v="4500"/>
    <n v="0"/>
    <n v="3"/>
    <n v="1500"/>
    <m/>
    <m/>
    <m/>
    <m/>
    <n v="1500"/>
    <n v="1500"/>
    <n v="1500"/>
    <m/>
    <m/>
    <m/>
    <m/>
    <m/>
    <s v="*"/>
  </r>
  <r>
    <n v="33"/>
    <s v="田島ルーフィング"/>
    <s v="推せる職場診断"/>
    <x v="32"/>
    <s v="組織開発"/>
    <x v="0"/>
    <s v="啓亮"/>
    <n v="3100"/>
    <n v="3100"/>
    <n v="0"/>
    <n v="5"/>
    <n v="620"/>
    <m/>
    <n v="1000"/>
    <n v="1000"/>
    <n v="300"/>
    <n v="300"/>
    <n v="500"/>
    <m/>
    <m/>
    <m/>
    <m/>
    <m/>
    <m/>
    <s v="*"/>
  </r>
  <r>
    <n v="34"/>
    <s v="インテージテクノスフィア"/>
    <s v="経営層向けレポート作成支援_Phase1"/>
    <x v="33"/>
    <s v="その他"/>
    <x v="2"/>
    <s v="弓本"/>
    <n v="900"/>
    <n v="900"/>
    <n v="0"/>
    <n v="1"/>
    <n v="900"/>
    <m/>
    <n v="900"/>
    <m/>
    <m/>
    <m/>
    <m/>
    <m/>
    <m/>
    <m/>
    <m/>
    <m/>
    <m/>
    <s v="*"/>
  </r>
  <r>
    <n v="35"/>
    <s v="ソフトバンク"/>
    <s v="スキルマップ作成"/>
    <x v="34"/>
    <s v="人材育成"/>
    <x v="4"/>
    <s v="啓亮"/>
    <n v="15000"/>
    <n v="15000"/>
    <n v="0"/>
    <n v="5"/>
    <n v="3000"/>
    <m/>
    <n v="1000"/>
    <n v="2500"/>
    <n v="2500"/>
    <n v="3000"/>
    <n v="3000"/>
    <n v="3000"/>
    <m/>
    <m/>
    <m/>
    <m/>
    <m/>
    <s v="*"/>
  </r>
  <r>
    <n v="36"/>
    <s v="パラドックス"/>
    <s v="森の歩き方実装支援（10月以降）"/>
    <x v="35"/>
    <s v="人材育成"/>
    <x v="0"/>
    <s v="啓亮"/>
    <n v="1650"/>
    <n v="1650"/>
    <m/>
    <n v="6"/>
    <n v="275"/>
    <m/>
    <n v="150"/>
    <n v="300"/>
    <n v="300"/>
    <n v="300"/>
    <n v="300"/>
    <n v="300"/>
    <m/>
    <m/>
    <m/>
    <m/>
    <m/>
    <s v="*"/>
  </r>
  <r>
    <n v="37"/>
    <s v="リンクシェア・ジャパン"/>
    <s v="早期戦力化へのオンボーディングプログラム設計"/>
    <x v="36"/>
    <s v="人材育成"/>
    <x v="4"/>
    <s v="啓亮"/>
    <n v="5000"/>
    <n v="5000"/>
    <m/>
    <n v="3"/>
    <n v="1666.6666666666667"/>
    <m/>
    <m/>
    <m/>
    <m/>
    <m/>
    <m/>
    <m/>
    <n v="1000"/>
    <n v="2000"/>
    <n v="2000"/>
    <m/>
    <m/>
    <s v="*"/>
  </r>
  <r>
    <n v="38"/>
    <s v="本田技術研究所"/>
    <s v="女性研究職社員の定着へ向けた課題分析・施策立案"/>
    <x v="37"/>
    <s v="組織開発"/>
    <x v="2"/>
    <s v="啓亮"/>
    <n v="3000"/>
    <n v="3000"/>
    <m/>
    <n v="3"/>
    <n v="1000"/>
    <m/>
    <m/>
    <n v="1000"/>
    <n v="1000"/>
    <n v="1000"/>
    <m/>
    <m/>
    <m/>
    <m/>
    <m/>
    <m/>
    <m/>
    <s v="*"/>
  </r>
  <r>
    <n v="39"/>
    <s v="asics"/>
    <s v="製造現場の業務効率化"/>
    <x v="38"/>
    <s v="その他"/>
    <x v="1"/>
    <s v="森田"/>
    <m/>
    <n v="0"/>
    <m/>
    <m/>
    <s v="-"/>
    <m/>
    <m/>
    <m/>
    <m/>
    <m/>
    <m/>
    <m/>
    <m/>
    <m/>
    <m/>
    <m/>
    <m/>
    <s v="*"/>
  </r>
  <r>
    <n v="40"/>
    <s v="三井情報"/>
    <s v="人材マネジメントアドバイザリー"/>
    <x v="39"/>
    <s v="人材育成"/>
    <x v="3"/>
    <s v="啓亮"/>
    <n v="3500"/>
    <n v="3500"/>
    <m/>
    <n v="5"/>
    <n v="700"/>
    <m/>
    <m/>
    <n v="700"/>
    <n v="700"/>
    <n v="700"/>
    <n v="700"/>
    <n v="700"/>
    <m/>
    <m/>
    <m/>
    <m/>
    <m/>
    <s v="*"/>
  </r>
  <r>
    <n v="41"/>
    <s v="トヨタコネクティッド"/>
    <s v="オンボーディング施策設計"/>
    <x v="40"/>
    <s v="組織開発"/>
    <x v="1"/>
    <s v="啓亮"/>
    <n v="6000"/>
    <m/>
    <m/>
    <n v="3"/>
    <n v="2000"/>
    <m/>
    <m/>
    <m/>
    <n v="2000"/>
    <n v="2000"/>
    <n v="2000"/>
    <m/>
    <m/>
    <m/>
    <m/>
    <m/>
    <m/>
    <s v="*"/>
  </r>
  <r>
    <n v="42"/>
    <s v="オーネスト"/>
    <s v="組織開発5か年計画(初年度)"/>
    <x v="41"/>
    <s v="組織開発"/>
    <x v="1"/>
    <s v="森田"/>
    <n v="12000"/>
    <m/>
    <m/>
    <m/>
    <s v="-"/>
    <m/>
    <m/>
    <m/>
    <m/>
    <m/>
    <m/>
    <m/>
    <m/>
    <m/>
    <m/>
    <m/>
    <m/>
    <s v="*"/>
  </r>
  <r>
    <n v="43"/>
    <s v="一条工務店"/>
    <s v="育成体系"/>
    <x v="42"/>
    <s v="人材育成"/>
    <x v="1"/>
    <s v="啓亮"/>
    <n v="4500"/>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m/>
    <m/>
    <m/>
    <x v="43"/>
    <m/>
    <x v="5"/>
    <m/>
    <m/>
    <m/>
    <m/>
    <m/>
    <s v="-"/>
    <m/>
    <m/>
    <m/>
    <m/>
    <m/>
    <m/>
    <m/>
    <m/>
    <m/>
    <m/>
    <m/>
    <m/>
    <s v="*"/>
  </r>
  <r>
    <s v="*"/>
    <s v="*"/>
    <s v="*"/>
    <x v="44"/>
    <s v="*"/>
    <x v="6"/>
    <s v="*"/>
    <s v="*"/>
    <s v="*"/>
    <s v="*"/>
    <s v="*"/>
    <s v="*"/>
    <s v="*"/>
    <s v="*"/>
    <s v="*"/>
    <s v="*"/>
    <s v="*"/>
    <s v="*"/>
    <s v="*"/>
    <s v="*"/>
    <s v="*"/>
    <s v="*"/>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7AD71C-BEDD-42B5-87C7-68D61B76E66E}" name="ピボットテーブル1" cacheId="0"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A3:N31" firstHeaderRow="0" firstDataRow="1" firstDataCol="1" rowPageCount="1" colPageCount="1"/>
  <pivotFields count="25">
    <pivotField showAll="0"/>
    <pivotField showAll="0"/>
    <pivotField showAll="0"/>
    <pivotField axis="axisRow" showAll="0" sortType="ascending">
      <items count="210">
        <item x="44"/>
        <item x="43"/>
        <item x="0"/>
        <item m="1" x="119"/>
        <item m="1" x="120"/>
        <item m="1" x="121"/>
        <item m="1" x="122"/>
        <item m="1" x="123"/>
        <item m="1" x="124"/>
        <item m="1" x="125"/>
        <item m="1" x="126"/>
        <item m="1" x="127"/>
        <item m="1" x="128"/>
        <item x="1"/>
        <item m="1" x="129"/>
        <item m="1" x="130"/>
        <item m="1" x="131"/>
        <item m="1" x="132"/>
        <item m="1" x="133"/>
        <item m="1" x="134"/>
        <item m="1" x="135"/>
        <item m="1" x="136"/>
        <item m="1" x="137"/>
        <item m="1" x="138"/>
        <item x="2"/>
        <item m="1" x="139"/>
        <item m="1" x="140"/>
        <item m="1" x="141"/>
        <item m="1" x="142"/>
        <item m="1" x="143"/>
        <item m="1" x="144"/>
        <item m="1" x="145"/>
        <item m="1" x="146"/>
        <item m="1" x="147"/>
        <item m="1" x="148"/>
        <item x="3"/>
        <item m="1" x="149"/>
        <item m="1" x="150"/>
        <item m="1" x="151"/>
        <item m="1" x="152"/>
        <item m="1" x="153"/>
        <item m="1" x="154"/>
        <item m="1" x="155"/>
        <item m="1" x="156"/>
        <item m="1" x="157"/>
        <item m="1" x="158"/>
        <item x="4"/>
        <item m="1" x="159"/>
        <item m="1" x="160"/>
        <item m="1" x="161"/>
        <item m="1" x="162"/>
        <item m="1" x="163"/>
        <item m="1" x="164"/>
        <item m="1" x="165"/>
        <item m="1" x="166"/>
        <item m="1" x="167"/>
        <item m="1" x="168"/>
        <item x="5"/>
        <item m="1" x="169"/>
        <item m="1" x="170"/>
        <item m="1" x="171"/>
        <item m="1" x="172"/>
        <item m="1" x="173"/>
        <item m="1" x="174"/>
        <item m="1" x="175"/>
        <item m="1" x="176"/>
        <item m="1" x="177"/>
        <item m="1" x="178"/>
        <item x="6"/>
        <item m="1" x="179"/>
        <item m="1" x="180"/>
        <item m="1" x="181"/>
        <item m="1" x="182"/>
        <item m="1" x="183"/>
        <item m="1" x="184"/>
        <item m="1" x="185"/>
        <item m="1" x="186"/>
        <item m="1" x="187"/>
        <item m="1" x="188"/>
        <item x="7"/>
        <item m="1" x="189"/>
        <item m="1" x="190"/>
        <item m="1" x="191"/>
        <item m="1" x="192"/>
        <item m="1" x="193"/>
        <item m="1" x="194"/>
        <item m="1" x="195"/>
        <item m="1" x="196"/>
        <item m="1" x="197"/>
        <item m="1" x="198"/>
        <item x="8"/>
        <item m="1" x="199"/>
        <item m="1" x="200"/>
        <item m="1" x="201"/>
        <item m="1" x="202"/>
        <item m="1" x="203"/>
        <item m="1" x="204"/>
        <item m="1" x="205"/>
        <item m="1" x="206"/>
        <item m="1" x="207"/>
        <item m="1" x="208"/>
        <item x="9"/>
        <item x="10"/>
        <item x="11"/>
        <item x="12"/>
        <item x="13"/>
        <item x="14"/>
        <item x="15"/>
        <item x="16"/>
        <item x="17"/>
        <item x="18"/>
        <item x="19"/>
        <item x="20"/>
        <item x="21"/>
        <item x="22"/>
        <item m="1" x="48"/>
        <item x="23"/>
        <item x="24"/>
        <item x="25"/>
        <item x="26"/>
        <item m="1" x="45"/>
        <item x="27"/>
        <item x="28"/>
        <item m="1" x="46"/>
        <item m="1" x="49"/>
        <item m="1" x="47"/>
        <item x="29"/>
        <item m="1" x="50"/>
        <item x="30"/>
        <item m="1" x="51"/>
        <item x="31"/>
        <item m="1" x="52"/>
        <item x="32"/>
        <item m="1" x="53"/>
        <item x="33"/>
        <item m="1" x="54"/>
        <item x="34"/>
        <item m="1" x="55"/>
        <item x="35"/>
        <item m="1" x="56"/>
        <item x="36"/>
        <item m="1" x="57"/>
        <item x="37"/>
        <item m="1" x="58"/>
        <item x="38"/>
        <item m="1" x="59"/>
        <item x="39"/>
        <item m="1" x="60"/>
        <item x="40"/>
        <item m="1" x="61"/>
        <item x="41"/>
        <item m="1" x="62"/>
        <item x="4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t="default"/>
      </items>
    </pivotField>
    <pivotField showAll="0"/>
    <pivotField axis="axisPage" multipleItemSelectionAllowed="1" showAll="0">
      <items count="8">
        <item h="1" x="6"/>
        <item x="3"/>
        <item h="1" x="4"/>
        <item h="1" x="1"/>
        <item h="1" x="2"/>
        <item x="0"/>
        <item h="1" x="5"/>
        <item t="default"/>
      </items>
    </pivotField>
    <pivotField showAll="0"/>
    <pivotField dataField="1"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s>
  <rowFields count="1">
    <field x="3"/>
  </rowFields>
  <rowItems count="28">
    <i>
      <x v="2"/>
    </i>
    <i>
      <x v="13"/>
    </i>
    <i>
      <x v="24"/>
    </i>
    <i>
      <x v="46"/>
    </i>
    <i>
      <x v="68"/>
    </i>
    <i>
      <x v="79"/>
    </i>
    <i>
      <x v="90"/>
    </i>
    <i>
      <x v="101"/>
    </i>
    <i>
      <x v="102"/>
    </i>
    <i>
      <x v="103"/>
    </i>
    <i>
      <x v="104"/>
    </i>
    <i>
      <x v="105"/>
    </i>
    <i>
      <x v="106"/>
    </i>
    <i>
      <x v="107"/>
    </i>
    <i>
      <x v="108"/>
    </i>
    <i>
      <x v="109"/>
    </i>
    <i>
      <x v="110"/>
    </i>
    <i>
      <x v="111"/>
    </i>
    <i>
      <x v="112"/>
    </i>
    <i>
      <x v="113"/>
    </i>
    <i>
      <x v="117"/>
    </i>
    <i>
      <x v="122"/>
    </i>
    <i>
      <x v="126"/>
    </i>
    <i>
      <x v="128"/>
    </i>
    <i>
      <x v="132"/>
    </i>
    <i>
      <x v="138"/>
    </i>
    <i>
      <x v="146"/>
    </i>
    <i t="grand">
      <x/>
    </i>
  </rowItems>
  <colFields count="1">
    <field x="-2"/>
  </colFields>
  <colItems count="13">
    <i>
      <x/>
    </i>
    <i i="1">
      <x v="1"/>
    </i>
    <i i="2">
      <x v="2"/>
    </i>
    <i i="3">
      <x v="3"/>
    </i>
    <i i="4">
      <x v="4"/>
    </i>
    <i i="5">
      <x v="5"/>
    </i>
    <i i="6">
      <x v="6"/>
    </i>
    <i i="7">
      <x v="7"/>
    </i>
    <i i="8">
      <x v="8"/>
    </i>
    <i i="9">
      <x v="9"/>
    </i>
    <i i="10">
      <x v="10"/>
    </i>
    <i i="11">
      <x v="11"/>
    </i>
    <i i="12">
      <x v="12"/>
    </i>
  </colItems>
  <pageFields count="1">
    <pageField fld="5" hier="-1"/>
  </pageFields>
  <dataFields count="13">
    <dataField name="合計 / 9期分" fld="7" baseField="3" baseItem="78"/>
    <dataField name="合計 / 9月" fld="12" baseField="3" baseItem="78"/>
    <dataField name="合計 / 10月" fld="13" baseField="3" baseItem="57"/>
    <dataField name="合計 / 11月" fld="14" baseField="3" baseItem="57"/>
    <dataField name="合計 / 12月" fld="15" baseField="3" baseItem="0"/>
    <dataField name="合計 / 1月" fld="16" baseField="3" baseItem="0"/>
    <dataField name="合計 / 2月" fld="17" baseField="3" baseItem="0"/>
    <dataField name="合計 / 3月" fld="18" baseField="3" baseItem="0"/>
    <dataField name="合計 / 4月" fld="19" baseField="3" baseItem="0"/>
    <dataField name="合計 / 5月" fld="20" baseField="3" baseItem="0"/>
    <dataField name="合計 / 6月" fld="21" baseField="3" baseItem="0"/>
    <dataField name="合計 / 7月" fld="22" baseField="3" baseItem="0"/>
    <dataField name="合計 / 8月" fld="23" baseField="3" baseItem="0"/>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F68D1-8CA9-4430-A7CD-9A84BB0FE125}">
  <dimension ref="B1:O33"/>
  <sheetViews>
    <sheetView showGridLines="0" topLeftCell="A2" zoomScale="80" zoomScaleNormal="80" workbookViewId="0">
      <selection activeCell="J32" sqref="J32"/>
    </sheetView>
  </sheetViews>
  <sheetFormatPr defaultColWidth="8.58203125" defaultRowHeight="15"/>
  <cols>
    <col min="1" max="2" width="8.58203125" style="1"/>
    <col min="3" max="3" width="16.08203125" style="1" bestFit="1" customWidth="1"/>
    <col min="4" max="16384" width="8.58203125" style="1"/>
  </cols>
  <sheetData>
    <row r="1" spans="2:15">
      <c r="B1" s="34"/>
    </row>
    <row r="2" spans="2:15">
      <c r="B2" s="34" t="s">
        <v>0</v>
      </c>
    </row>
    <row r="3" spans="2:15">
      <c r="B3" s="4"/>
      <c r="C3" s="4"/>
      <c r="D3" s="6" t="s">
        <v>1</v>
      </c>
      <c r="E3" s="6" t="s">
        <v>2</v>
      </c>
      <c r="F3" s="6" t="s">
        <v>3</v>
      </c>
      <c r="G3" s="6" t="s">
        <v>4</v>
      </c>
      <c r="H3" s="6" t="s">
        <v>5</v>
      </c>
      <c r="I3" s="6" t="s">
        <v>6</v>
      </c>
      <c r="J3" s="6" t="s">
        <v>7</v>
      </c>
      <c r="K3" s="6" t="s">
        <v>8</v>
      </c>
      <c r="L3" s="6" t="s">
        <v>9</v>
      </c>
      <c r="M3" s="6" t="s">
        <v>10</v>
      </c>
      <c r="N3" s="6" t="s">
        <v>11</v>
      </c>
      <c r="O3" s="6" t="s">
        <v>12</v>
      </c>
    </row>
    <row r="4" spans="2:15">
      <c r="B4" s="3" t="s">
        <v>13</v>
      </c>
      <c r="C4" s="7" t="s">
        <v>14</v>
      </c>
      <c r="D4" s="8">
        <v>0.3</v>
      </c>
      <c r="E4" s="8">
        <v>0.3</v>
      </c>
      <c r="F4" s="8">
        <v>0.3</v>
      </c>
      <c r="G4" s="8">
        <v>0.3</v>
      </c>
      <c r="H4" s="8">
        <v>0.3</v>
      </c>
      <c r="I4" s="8">
        <v>0.3</v>
      </c>
      <c r="J4" s="8">
        <v>0.3</v>
      </c>
      <c r="K4" s="8">
        <v>0.3</v>
      </c>
      <c r="L4" s="8">
        <v>0.3</v>
      </c>
      <c r="M4" s="8">
        <v>0.3</v>
      </c>
      <c r="N4" s="8">
        <v>0.3</v>
      </c>
      <c r="O4" s="8">
        <v>0.3</v>
      </c>
    </row>
    <row r="5" spans="2:15">
      <c r="B5" s="4"/>
      <c r="C5" s="9" t="s">
        <v>15</v>
      </c>
      <c r="D5" s="35">
        <f>SUMIFS('【入力用③】案件ごとCH（D案件以上）'!O$5:O$1048576,'【入力用③】案件ごとCH（D案件以上）'!$N$5:$N$1048576,【表示用】各メンバーCH!$B4,'【入力用③】案件ごとCH（D案件以上）'!$H$5:$H$1048576,"成立")+SUMIFS('【入力用③】案件ごとCH（D案件以上）'!O$5:O$1048576,'【入力用③】案件ごとCH（D案件以上）'!$N$5:$N$1048576,【表示用】各メンバーCH!$B4,'【入力用③】案件ごとCH（D案件以上）'!$H$5:$H$1048576,"A")</f>
        <v>0.28000000000000003</v>
      </c>
      <c r="E5" s="35">
        <f>SUMIFS('【入力用③】案件ごとCH（D案件以上）'!P$5:P$1048576,'【入力用③】案件ごとCH（D案件以上）'!$N$5:$N$1048576,【表示用】各メンバーCH!$B4,'【入力用③】案件ごとCH（D案件以上）'!$H$5:$H$1048576,"成立")+SUMIFS('【入力用③】案件ごとCH（D案件以上）'!P$5:P$1048576,'【入力用③】案件ごとCH（D案件以上）'!$N$5:$N$1048576,【表示用】各メンバーCH!$B4,'【入力用③】案件ごとCH（D案件以上）'!$H$5:$H$1048576,"A")</f>
        <v>0.33</v>
      </c>
      <c r="F5" s="35">
        <f>SUMIFS('【入力用③】案件ごとCH（D案件以上）'!Q$5:Q$1048576,'【入力用③】案件ごとCH（D案件以上）'!$N$5:$N$1048576,【表示用】各メンバーCH!$B4,'【入力用③】案件ごとCH（D案件以上）'!$H$5:$H$1048576,"成立")+SUMIFS('【入力用③】案件ごとCH（D案件以上）'!Q$5:Q$1048576,'【入力用③】案件ごとCH（D案件以上）'!$N$5:$N$1048576,【表示用】各メンバーCH!$B4,'【入力用③】案件ごとCH（D案件以上）'!$H$5:$H$1048576,"A")</f>
        <v>0.31</v>
      </c>
      <c r="G5" s="35">
        <f>SUMIFS('【入力用③】案件ごとCH（D案件以上）'!R$5:R$1048576,'【入力用③】案件ごとCH（D案件以上）'!$N$5:$N$1048576,【表示用】各メンバーCH!$B4,'【入力用③】案件ごとCH（D案件以上）'!$H$5:$H$1048576,"成立")+SUMIFS('【入力用③】案件ごとCH（D案件以上）'!R$5:R$1048576,'【入力用③】案件ごとCH（D案件以上）'!$N$5:$N$1048576,【表示用】各メンバーCH!$B4,'【入力用③】案件ごとCH（D案件以上）'!$H$5:$H$1048576,"A")</f>
        <v>0.31</v>
      </c>
      <c r="H5" s="35">
        <f>SUMIFS('【入力用③】案件ごとCH（D案件以上）'!S$5:S$1048576,'【入力用③】案件ごとCH（D案件以上）'!$N$5:$N$1048576,【表示用】各メンバーCH!$B4,'【入力用③】案件ごとCH（D案件以上）'!$H$5:$H$1048576,"成立")+SUMIFS('【入力用③】案件ごとCH（D案件以上）'!S$5:S$1048576,'【入力用③】案件ごとCH（D案件以上）'!$N$5:$N$1048576,【表示用】各メンバーCH!$B4,'【入力用③】案件ごとCH（D案件以上）'!$H$5:$H$1048576,"A")</f>
        <v>0.19</v>
      </c>
      <c r="I5" s="35">
        <f>SUMIFS('【入力用③】案件ごとCH（D案件以上）'!T$5:T$1048576,'【入力用③】案件ごとCH（D案件以上）'!$N$5:$N$1048576,【表示用】各メンバーCH!$B4,'【入力用③】案件ごとCH（D案件以上）'!$H$5:$H$1048576,"成立")+SUMIFS('【入力用③】案件ごとCH（D案件以上）'!T$5:T$1048576,'【入力用③】案件ごとCH（D案件以上）'!$N$5:$N$1048576,【表示用】各メンバーCH!$B4,'【入力用③】案件ごとCH（D案件以上）'!$H$5:$H$1048576,"A")</f>
        <v>0.2</v>
      </c>
      <c r="J5" s="35">
        <f>SUMIFS('【入力用③】案件ごとCH（D案件以上）'!U$5:U$1048576,'【入力用③】案件ごとCH（D案件以上）'!$N$5:$N$1048576,【表示用】各メンバーCH!$B4,'【入力用③】案件ごとCH（D案件以上）'!$H$5:$H$1048576,"成立")+SUMIFS('【入力用③】案件ごとCH（D案件以上）'!U$5:U$1048576,'【入力用③】案件ごとCH（D案件以上）'!$N$5:$N$1048576,【表示用】各メンバーCH!$B4,'【入力用③】案件ごとCH（D案件以上）'!$H$5:$H$1048576,"A")</f>
        <v>0.2</v>
      </c>
      <c r="K5" s="35">
        <f>SUMIFS('【入力用③】案件ごとCH（D案件以上）'!V$5:V$1048576,'【入力用③】案件ごとCH（D案件以上）'!$N$5:$N$1048576,【表示用】各メンバーCH!$B4,'【入力用③】案件ごとCH（D案件以上）'!$H$5:$H$1048576,"成立")+SUMIFS('【入力用③】案件ごとCH（D案件以上）'!V$5:V$1048576,'【入力用③】案件ごとCH（D案件以上）'!$N$5:$N$1048576,【表示用】各メンバーCH!$B4,'【入力用③】案件ごとCH（D案件以上）'!$H$5:$H$1048576,"A")</f>
        <v>0.2</v>
      </c>
      <c r="L5" s="35">
        <f>SUMIFS('【入力用③】案件ごとCH（D案件以上）'!W$5:W$1048576,'【入力用③】案件ごとCH（D案件以上）'!$N$5:$N$1048576,【表示用】各メンバーCH!$B4,'【入力用③】案件ごとCH（D案件以上）'!$H$5:$H$1048576,"成立")+SUMIFS('【入力用③】案件ごとCH（D案件以上）'!W$5:W$1048576,'【入力用③】案件ごとCH（D案件以上）'!$N$5:$N$1048576,【表示用】各メンバーCH!$B4,'【入力用③】案件ごとCH（D案件以上）'!$H$5:$H$1048576,"A")</f>
        <v>0.2</v>
      </c>
      <c r="M5" s="35">
        <f>SUMIFS('【入力用③】案件ごとCH（D案件以上）'!X$5:X$1048576,'【入力用③】案件ごとCH（D案件以上）'!$N$5:$N$1048576,【表示用】各メンバーCH!$B4,'【入力用③】案件ごとCH（D案件以上）'!$H$5:$H$1048576,"成立")+SUMIFS('【入力用③】案件ごとCH（D案件以上）'!X$5:X$1048576,'【入力用③】案件ごとCH（D案件以上）'!$N$5:$N$1048576,【表示用】各メンバーCH!$B4,'【入力用③】案件ごとCH（D案件以上）'!$H$5:$H$1048576,"A")</f>
        <v>0.2</v>
      </c>
      <c r="N5" s="35">
        <f>SUMIFS('【入力用③】案件ごとCH（D案件以上）'!Y$5:Y$1048576,'【入力用③】案件ごとCH（D案件以上）'!$N$5:$N$1048576,【表示用】各メンバーCH!$B4,'【入力用③】案件ごとCH（D案件以上）'!$H$5:$H$1048576,"成立")+SUMIFS('【入力用③】案件ごとCH（D案件以上）'!Y$5:Y$1048576,'【入力用③】案件ごとCH（D案件以上）'!$N$5:$N$1048576,【表示用】各メンバーCH!$B4,'【入力用③】案件ごとCH（D案件以上）'!$H$5:$H$1048576,"A")</f>
        <v>0.2</v>
      </c>
      <c r="O5" s="35">
        <f>SUMIFS('【入力用③】案件ごとCH（D案件以上）'!Z$5:Z$1048576,'【入力用③】案件ごとCH（D案件以上）'!$N$5:$N$1048576,【表示用】各メンバーCH!$B4,'【入力用③】案件ごとCH（D案件以上）'!$H$5:$H$1048576,"成立")+SUMIFS('【入力用③】案件ごとCH（D案件以上）'!Z$5:Z$1048576,'【入力用③】案件ごとCH（D案件以上）'!$N$5:$N$1048576,【表示用】各メンバーCH!$B4,'【入力用③】案件ごとCH（D案件以上）'!$H$5:$H$1048576,"A")</f>
        <v>0</v>
      </c>
    </row>
    <row r="6" spans="2:15">
      <c r="B6" s="5"/>
      <c r="C6" s="10" t="s">
        <v>16</v>
      </c>
      <c r="D6" s="11">
        <f>D5-D4</f>
        <v>-1.9999999999999962E-2</v>
      </c>
      <c r="E6" s="11">
        <f t="shared" ref="E6:O6" si="0">E5-E4</f>
        <v>3.0000000000000027E-2</v>
      </c>
      <c r="F6" s="11">
        <f t="shared" si="0"/>
        <v>1.0000000000000009E-2</v>
      </c>
      <c r="G6" s="11">
        <f t="shared" si="0"/>
        <v>1.0000000000000009E-2</v>
      </c>
      <c r="H6" s="11">
        <f t="shared" si="0"/>
        <v>-0.10999999999999999</v>
      </c>
      <c r="I6" s="11">
        <f t="shared" si="0"/>
        <v>-9.9999999999999978E-2</v>
      </c>
      <c r="J6" s="11">
        <f t="shared" si="0"/>
        <v>-9.9999999999999978E-2</v>
      </c>
      <c r="K6" s="11">
        <f t="shared" si="0"/>
        <v>-9.9999999999999978E-2</v>
      </c>
      <c r="L6" s="11">
        <f t="shared" si="0"/>
        <v>-9.9999999999999978E-2</v>
      </c>
      <c r="M6" s="11">
        <f t="shared" si="0"/>
        <v>-9.9999999999999978E-2</v>
      </c>
      <c r="N6" s="11">
        <f t="shared" si="0"/>
        <v>-9.9999999999999978E-2</v>
      </c>
      <c r="O6" s="11">
        <f t="shared" si="0"/>
        <v>-0.3</v>
      </c>
    </row>
    <row r="7" spans="2:15">
      <c r="B7" s="3" t="s">
        <v>17</v>
      </c>
      <c r="C7" s="7" t="s">
        <v>14</v>
      </c>
      <c r="D7" s="8">
        <v>0.5</v>
      </c>
      <c r="E7" s="8">
        <v>0.5</v>
      </c>
      <c r="F7" s="8">
        <v>0.5</v>
      </c>
      <c r="G7" s="8">
        <v>0.5</v>
      </c>
      <c r="H7" s="8">
        <v>0.5</v>
      </c>
      <c r="I7" s="8">
        <v>0.5</v>
      </c>
      <c r="J7" s="8">
        <v>0.5</v>
      </c>
      <c r="K7" s="8">
        <v>0.5</v>
      </c>
      <c r="L7" s="8">
        <v>0.5</v>
      </c>
      <c r="M7" s="8">
        <v>0.5</v>
      </c>
      <c r="N7" s="8">
        <v>0.5</v>
      </c>
      <c r="O7" s="8">
        <v>0.5</v>
      </c>
    </row>
    <row r="8" spans="2:15">
      <c r="B8" s="4"/>
      <c r="C8" s="9" t="s">
        <v>15</v>
      </c>
      <c r="D8" s="35">
        <f>SUMIFS('【入力用③】案件ごとCH（D案件以上）'!O$5:O$1048576,'【入力用③】案件ごとCH（D案件以上）'!$N$5:$N$1048576,【表示用】各メンバーCH!$B7,'【入力用③】案件ごとCH（D案件以上）'!$H$5:$H$1048576,"成立")+SUMIFS('【入力用③】案件ごとCH（D案件以上）'!O$5:O$1048576,'【入力用③】案件ごとCH（D案件以上）'!$N$5:$N$1048576,【表示用】各メンバーCH!$B7,'【入力用③】案件ごとCH（D案件以上）'!$H$5:$H$1048576,"A")</f>
        <v>0.20900000000000002</v>
      </c>
      <c r="E8" s="35">
        <f>SUMIFS('【入力用③】案件ごとCH（D案件以上）'!P$5:P$1048576,'【入力用③】案件ごとCH（D案件以上）'!$N$5:$N$1048576,【表示用】各メンバーCH!$B7,'【入力用③】案件ごとCH（D案件以上）'!$H$5:$H$1048576,"成立")+SUMIFS('【入力用③】案件ごとCH（D案件以上）'!P$5:P$1048576,'【入力用③】案件ごとCH（D案件以上）'!$N$5:$N$1048576,【表示用】各メンバーCH!$B7,'【入力用③】案件ごとCH（D案件以上）'!$H$5:$H$1048576,"A")</f>
        <v>0.14000000000000001</v>
      </c>
      <c r="F8" s="35">
        <f>SUMIFS('【入力用③】案件ごとCH（D案件以上）'!Q$5:Q$1048576,'【入力用③】案件ごとCH（D案件以上）'!$N$5:$N$1048576,【表示用】各メンバーCH!$B7,'【入力用③】案件ごとCH（D案件以上）'!$H$5:$H$1048576,"成立")+SUMIFS('【入力用③】案件ごとCH（D案件以上）'!Q$5:Q$1048576,'【入力用③】案件ごとCH（D案件以上）'!$N$5:$N$1048576,【表示用】各メンバーCH!$B7,'【入力用③】案件ごとCH（D案件以上）'!$H$5:$H$1048576,"A")</f>
        <v>0.14000000000000001</v>
      </c>
      <c r="G8" s="35">
        <f>SUMIFS('【入力用③】案件ごとCH（D案件以上）'!R$5:R$1048576,'【入力用③】案件ごとCH（D案件以上）'!$N$5:$N$1048576,【表示用】各メンバーCH!$B7,'【入力用③】案件ごとCH（D案件以上）'!$H$5:$H$1048576,"成立")+SUMIFS('【入力用③】案件ごとCH（D案件以上）'!R$5:R$1048576,'【入力用③】案件ごとCH（D案件以上）'!$N$5:$N$1048576,【表示用】各メンバーCH!$B7,'【入力用③】案件ごとCH（D案件以上）'!$H$5:$H$1048576,"A")</f>
        <v>0.14000000000000001</v>
      </c>
      <c r="H8" s="35">
        <f>SUMIFS('【入力用③】案件ごとCH（D案件以上）'!S$5:S$1048576,'【入力用③】案件ごとCH（D案件以上）'!$N$5:$N$1048576,【表示用】各メンバーCH!$B7,'【入力用③】案件ごとCH（D案件以上）'!$H$5:$H$1048576,"成立")+SUMIFS('【入力用③】案件ごとCH（D案件以上）'!S$5:S$1048576,'【入力用③】案件ごとCH（D案件以上）'!$N$5:$N$1048576,【表示用】各メンバーCH!$B7,'【入力用③】案件ごとCH（D案件以上）'!$H$5:$H$1048576,"A")</f>
        <v>0.13</v>
      </c>
      <c r="I8" s="35">
        <f>SUMIFS('【入力用③】案件ごとCH（D案件以上）'!T$5:T$1048576,'【入力用③】案件ごとCH（D案件以上）'!$N$5:$N$1048576,【表示用】各メンバーCH!$B7,'【入力用③】案件ごとCH（D案件以上）'!$H$5:$H$1048576,"成立")+SUMIFS('【入力用③】案件ごとCH（D案件以上）'!T$5:T$1048576,'【入力用③】案件ごとCH（D案件以上）'!$N$5:$N$1048576,【表示用】各メンバーCH!$B7,'【入力用③】案件ごとCH（D案件以上）'!$H$5:$H$1048576,"A")</f>
        <v>0.21</v>
      </c>
      <c r="J8" s="35">
        <f>SUMIFS('【入力用③】案件ごとCH（D案件以上）'!U$5:U$1048576,'【入力用③】案件ごとCH（D案件以上）'!$N$5:$N$1048576,【表示用】各メンバーCH!$B7,'【入力用③】案件ごとCH（D案件以上）'!$H$5:$H$1048576,"成立")+SUMIFS('【入力用③】案件ごとCH（D案件以上）'!U$5:U$1048576,'【入力用③】案件ごとCH（D案件以上）'!$N$5:$N$1048576,【表示用】各メンバーCH!$B7,'【入力用③】案件ごとCH（D案件以上）'!$H$5:$H$1048576,"A")</f>
        <v>0.08</v>
      </c>
      <c r="K8" s="35">
        <f>SUMIFS('【入力用③】案件ごとCH（D案件以上）'!V$5:V$1048576,'【入力用③】案件ごとCH（D案件以上）'!$N$5:$N$1048576,【表示用】各メンバーCH!$B7,'【入力用③】案件ごとCH（D案件以上）'!$H$5:$H$1048576,"成立")+SUMIFS('【入力用③】案件ごとCH（D案件以上）'!V$5:V$1048576,'【入力用③】案件ごとCH（D案件以上）'!$N$5:$N$1048576,【表示用】各メンバーCH!$B7,'【入力用③】案件ごとCH（D案件以上）'!$H$5:$H$1048576,"A")</f>
        <v>0</v>
      </c>
      <c r="L8" s="35">
        <f>SUMIFS('【入力用③】案件ごとCH（D案件以上）'!W$5:W$1048576,'【入力用③】案件ごとCH（D案件以上）'!$N$5:$N$1048576,【表示用】各メンバーCH!$B7,'【入力用③】案件ごとCH（D案件以上）'!$H$5:$H$1048576,"成立")+SUMIFS('【入力用③】案件ごとCH（D案件以上）'!W$5:W$1048576,'【入力用③】案件ごとCH（D案件以上）'!$N$5:$N$1048576,【表示用】各メンバーCH!$B7,'【入力用③】案件ごとCH（D案件以上）'!$H$5:$H$1048576,"A")</f>
        <v>0</v>
      </c>
      <c r="M8" s="35">
        <f>SUMIFS('【入力用③】案件ごとCH（D案件以上）'!X$5:X$1048576,'【入力用③】案件ごとCH（D案件以上）'!$N$5:$N$1048576,【表示用】各メンバーCH!$B7,'【入力用③】案件ごとCH（D案件以上）'!$H$5:$H$1048576,"成立")+SUMIFS('【入力用③】案件ごとCH（D案件以上）'!X$5:X$1048576,'【入力用③】案件ごとCH（D案件以上）'!$N$5:$N$1048576,【表示用】各メンバーCH!$B7,'【入力用③】案件ごとCH（D案件以上）'!$H$5:$H$1048576,"A")</f>
        <v>0</v>
      </c>
      <c r="N8" s="35">
        <f>SUMIFS('【入力用③】案件ごとCH（D案件以上）'!Y$5:Y$1048576,'【入力用③】案件ごとCH（D案件以上）'!$N$5:$N$1048576,【表示用】各メンバーCH!$B7,'【入力用③】案件ごとCH（D案件以上）'!$H$5:$H$1048576,"成立")+SUMIFS('【入力用③】案件ごとCH（D案件以上）'!Y$5:Y$1048576,'【入力用③】案件ごとCH（D案件以上）'!$N$5:$N$1048576,【表示用】各メンバーCH!$B7,'【入力用③】案件ごとCH（D案件以上）'!$H$5:$H$1048576,"A")</f>
        <v>0</v>
      </c>
      <c r="O8" s="35">
        <f>SUMIFS('【入力用③】案件ごとCH（D案件以上）'!Z$5:Z$1048576,'【入力用③】案件ごとCH（D案件以上）'!$N$5:$N$1048576,【表示用】各メンバーCH!$B7,'【入力用③】案件ごとCH（D案件以上）'!$H$5:$H$1048576,"成立")+SUMIFS('【入力用③】案件ごとCH（D案件以上）'!Z$5:Z$1048576,'【入力用③】案件ごとCH（D案件以上）'!$N$5:$N$1048576,【表示用】各メンバーCH!$B7,'【入力用③】案件ごとCH（D案件以上）'!$H$5:$H$1048576,"A")</f>
        <v>0</v>
      </c>
    </row>
    <row r="9" spans="2:15">
      <c r="B9" s="5"/>
      <c r="C9" s="10" t="s">
        <v>16</v>
      </c>
      <c r="D9" s="11">
        <f>D8-D7</f>
        <v>-0.29099999999999998</v>
      </c>
      <c r="E9" s="11">
        <f t="shared" ref="E9:O9" si="1">E8-E7</f>
        <v>-0.36</v>
      </c>
      <c r="F9" s="11">
        <f t="shared" si="1"/>
        <v>-0.36</v>
      </c>
      <c r="G9" s="11">
        <f t="shared" si="1"/>
        <v>-0.36</v>
      </c>
      <c r="H9" s="11">
        <f t="shared" si="1"/>
        <v>-0.37</v>
      </c>
      <c r="I9" s="11">
        <f t="shared" si="1"/>
        <v>-0.29000000000000004</v>
      </c>
      <c r="J9" s="11">
        <f t="shared" si="1"/>
        <v>-0.42</v>
      </c>
      <c r="K9" s="11">
        <f t="shared" si="1"/>
        <v>-0.5</v>
      </c>
      <c r="L9" s="11">
        <f t="shared" si="1"/>
        <v>-0.5</v>
      </c>
      <c r="M9" s="11">
        <f t="shared" si="1"/>
        <v>-0.5</v>
      </c>
      <c r="N9" s="11">
        <f t="shared" si="1"/>
        <v>-0.5</v>
      </c>
      <c r="O9" s="11">
        <f t="shared" si="1"/>
        <v>-0.5</v>
      </c>
    </row>
    <row r="10" spans="2:15">
      <c r="B10" s="3" t="s">
        <v>18</v>
      </c>
      <c r="C10" s="7" t="s">
        <v>14</v>
      </c>
      <c r="D10" s="8">
        <v>0.8</v>
      </c>
      <c r="E10" s="8">
        <v>0.8</v>
      </c>
      <c r="F10" s="8">
        <v>0.8</v>
      </c>
      <c r="G10" s="8">
        <v>0.8</v>
      </c>
      <c r="H10" s="8">
        <v>0.8</v>
      </c>
      <c r="I10" s="8">
        <v>0.8</v>
      </c>
      <c r="J10" s="8">
        <v>0.8</v>
      </c>
      <c r="K10" s="8">
        <v>0.8</v>
      </c>
      <c r="L10" s="8">
        <v>0.8</v>
      </c>
      <c r="M10" s="8">
        <v>0.8</v>
      </c>
      <c r="N10" s="8">
        <v>0.8</v>
      </c>
      <c r="O10" s="8">
        <v>0.8</v>
      </c>
    </row>
    <row r="11" spans="2:15">
      <c r="B11" s="4"/>
      <c r="C11" s="9" t="s">
        <v>15</v>
      </c>
      <c r="D11" s="35">
        <f>SUMIFS('【入力用③】案件ごとCH（D案件以上）'!O$5:O$1048576,'【入力用③】案件ごとCH（D案件以上）'!$N$5:$N$1048576,【表示用】各メンバーCH!$B10,'【入力用③】案件ごとCH（D案件以上）'!$H$5:$H$1048576,"成立")+SUMIFS('【入力用③】案件ごとCH（D案件以上）'!O$5:O$1048576,'【入力用③】案件ごとCH（D案件以上）'!$N$5:$N$1048576,【表示用】各メンバーCH!$B10,'【入力用③】案件ごとCH（D案件以上）'!$H$5:$H$1048576,"A")</f>
        <v>0.52459999999999996</v>
      </c>
      <c r="E11" s="35">
        <f>SUMIFS('【入力用③】案件ごとCH（D案件以上）'!P$5:P$1048576,'【入力用③】案件ごとCH（D案件以上）'!$N$5:$N$1048576,【表示用】各メンバーCH!$B10,'【入力用③】案件ごとCH（D案件以上）'!$H$5:$H$1048576,"成立")+SUMIFS('【入力用③】案件ごとCH（D案件以上）'!P$5:P$1048576,'【入力用③】案件ごとCH（D案件以上）'!$N$5:$N$1048576,【表示用】各メンバーCH!$B10,'【入力用③】案件ごとCH（D案件以上）'!$H$5:$H$1048576,"A")</f>
        <v>0.44400000000000001</v>
      </c>
      <c r="F11" s="35">
        <f>SUMIFS('【入力用③】案件ごとCH（D案件以上）'!Q$5:Q$1048576,'【入力用③】案件ごとCH（D案件以上）'!$N$5:$N$1048576,【表示用】各メンバーCH!$B10,'【入力用③】案件ごとCH（D案件以上）'!$H$5:$H$1048576,"成立")+SUMIFS('【入力用③】案件ごとCH（D案件以上）'!Q$5:Q$1048576,'【入力用③】案件ごとCH（D案件以上）'!$N$5:$N$1048576,【表示用】各メンバーCH!$B10,'【入力用③】案件ごとCH（D案件以上）'!$H$5:$H$1048576,"A")</f>
        <v>0.78400000000000003</v>
      </c>
      <c r="G11" s="35">
        <f>SUMIFS('【入力用③】案件ごとCH（D案件以上）'!R$5:R$1048576,'【入力用③】案件ごとCH（D案件以上）'!$N$5:$N$1048576,【表示用】各メンバーCH!$B10,'【入力用③】案件ごとCH（D案件以上）'!$H$5:$H$1048576,"成立")+SUMIFS('【入力用③】案件ごとCH（D案件以上）'!R$5:R$1048576,'【入力用③】案件ごとCH（D案件以上）'!$N$5:$N$1048576,【表示用】各メンバーCH!$B10,'【入力用③】案件ごとCH（D案件以上）'!$H$5:$H$1048576,"A")</f>
        <v>0.51</v>
      </c>
      <c r="H11" s="35">
        <f>SUMIFS('【入力用③】案件ごとCH（D案件以上）'!S$5:S$1048576,'【入力用③】案件ごとCH（D案件以上）'!$N$5:$N$1048576,【表示用】各メンバーCH!$B10,'【入力用③】案件ごとCH（D案件以上）'!$H$5:$H$1048576,"成立")+SUMIFS('【入力用③】案件ごとCH（D案件以上）'!S$5:S$1048576,'【入力用③】案件ごとCH（D案件以上）'!$N$5:$N$1048576,【表示用】各メンバーCH!$B10,'【入力用③】案件ごとCH（D案件以上）'!$H$5:$H$1048576,"A")</f>
        <v>1.61</v>
      </c>
      <c r="I11" s="35">
        <f>SUMIFS('【入力用③】案件ごとCH（D案件以上）'!T$5:T$1048576,'【入力用③】案件ごとCH（D案件以上）'!$N$5:$N$1048576,【表示用】各メンバーCH!$B10,'【入力用③】案件ごとCH（D案件以上）'!$H$5:$H$1048576,"成立")+SUMIFS('【入力用③】案件ごとCH（D案件以上）'!T$5:T$1048576,'【入力用③】案件ごとCH（D案件以上）'!$N$5:$N$1048576,【表示用】各メンバーCH!$B10,'【入力用③】案件ごとCH（D案件以上）'!$H$5:$H$1048576,"A")</f>
        <v>1.6850000000000001</v>
      </c>
      <c r="J11" s="35">
        <f>SUMIFS('【入力用③】案件ごとCH（D案件以上）'!U$5:U$1048576,'【入力用③】案件ごとCH（D案件以上）'!$N$5:$N$1048576,【表示用】各メンバーCH!$B10,'【入力用③】案件ごとCH（D案件以上）'!$H$5:$H$1048576,"成立")+SUMIFS('【入力用③】案件ごとCH（D案件以上）'!U$5:U$1048576,'【入力用③】案件ごとCH（D案件以上）'!$N$5:$N$1048576,【表示用】各メンバーCH!$B10,'【入力用③】案件ごとCH（D案件以上）'!$H$5:$H$1048576,"A")</f>
        <v>1.4900000000000002</v>
      </c>
      <c r="K11" s="35">
        <f>SUMIFS('【入力用③】案件ごとCH（D案件以上）'!V$5:V$1048576,'【入力用③】案件ごとCH（D案件以上）'!$N$5:$N$1048576,【表示用】各メンバーCH!$B10,'【入力用③】案件ごとCH（D案件以上）'!$H$5:$H$1048576,"成立")+SUMIFS('【入力用③】案件ごとCH（D案件以上）'!V$5:V$1048576,'【入力用③】案件ごとCH（D案件以上）'!$N$5:$N$1048576,【表示用】各メンバーCH!$B10,'【入力用③】案件ごとCH（D案件以上）'!$H$5:$H$1048576,"A")</f>
        <v>0.77</v>
      </c>
      <c r="L11" s="35">
        <f>SUMIFS('【入力用③】案件ごとCH（D案件以上）'!W$5:W$1048576,'【入力用③】案件ごとCH（D案件以上）'!$N$5:$N$1048576,【表示用】各メンバーCH!$B10,'【入力用③】案件ごとCH（D案件以上）'!$H$5:$H$1048576,"成立")+SUMIFS('【入力用③】案件ごとCH（D案件以上）'!W$5:W$1048576,'【入力用③】案件ごとCH（D案件以上）'!$N$5:$N$1048576,【表示用】各メンバーCH!$B10,'【入力用③】案件ごとCH（D案件以上）'!$H$5:$H$1048576,"A")</f>
        <v>0.77</v>
      </c>
      <c r="M11" s="35">
        <f>SUMIFS('【入力用③】案件ごとCH（D案件以上）'!X$5:X$1048576,'【入力用③】案件ごとCH（D案件以上）'!$N$5:$N$1048576,【表示用】各メンバーCH!$B10,'【入力用③】案件ごとCH（D案件以上）'!$H$5:$H$1048576,"成立")+SUMIFS('【入力用③】案件ごとCH（D案件以上）'!X$5:X$1048576,'【入力用③】案件ごとCH（D案件以上）'!$N$5:$N$1048576,【表示用】各メンバーCH!$B10,'【入力用③】案件ごとCH（D案件以上）'!$H$5:$H$1048576,"A")</f>
        <v>0.27</v>
      </c>
      <c r="N11" s="35">
        <f>SUMIFS('【入力用③】案件ごとCH（D案件以上）'!Y$5:Y$1048576,'【入力用③】案件ごとCH（D案件以上）'!$N$5:$N$1048576,【表示用】各メンバーCH!$B10,'【入力用③】案件ごとCH（D案件以上）'!$H$5:$H$1048576,"成立")+SUMIFS('【入力用③】案件ごとCH（D案件以上）'!Y$5:Y$1048576,'【入力用③】案件ごとCH（D案件以上）'!$N$5:$N$1048576,【表示用】各メンバーCH!$B10,'【入力用③】案件ごとCH（D案件以上）'!$H$5:$H$1048576,"A")</f>
        <v>0.27</v>
      </c>
      <c r="O11" s="35">
        <f>SUMIFS('【入力用③】案件ごとCH（D案件以上）'!Z$5:Z$1048576,'【入力用③】案件ごとCH（D案件以上）'!$N$5:$N$1048576,【表示用】各メンバーCH!$B10,'【入力用③】案件ごとCH（D案件以上）'!$H$5:$H$1048576,"成立")+SUMIFS('【入力用③】案件ごとCH（D案件以上）'!Z$5:Z$1048576,'【入力用③】案件ごとCH（D案件以上）'!$N$5:$N$1048576,【表示用】各メンバーCH!$B10,'【入力用③】案件ごとCH（D案件以上）'!$H$5:$H$1048576,"A")</f>
        <v>0.27</v>
      </c>
    </row>
    <row r="12" spans="2:15">
      <c r="B12" s="5"/>
      <c r="C12" s="10" t="s">
        <v>16</v>
      </c>
      <c r="D12" s="11">
        <f>D11-D10</f>
        <v>-0.27540000000000009</v>
      </c>
      <c r="E12" s="11">
        <f t="shared" ref="E12:O12" si="2">E11-E10</f>
        <v>-0.35600000000000004</v>
      </c>
      <c r="F12" s="11">
        <f t="shared" si="2"/>
        <v>-1.6000000000000014E-2</v>
      </c>
      <c r="G12" s="11">
        <f t="shared" si="2"/>
        <v>-0.29000000000000004</v>
      </c>
      <c r="H12" s="11">
        <f t="shared" si="2"/>
        <v>0.81</v>
      </c>
      <c r="I12" s="11">
        <f t="shared" si="2"/>
        <v>0.88500000000000001</v>
      </c>
      <c r="J12" s="11">
        <f t="shared" si="2"/>
        <v>0.69000000000000017</v>
      </c>
      <c r="K12" s="11">
        <f t="shared" si="2"/>
        <v>-3.0000000000000027E-2</v>
      </c>
      <c r="L12" s="11">
        <f t="shared" si="2"/>
        <v>-3.0000000000000027E-2</v>
      </c>
      <c r="M12" s="11">
        <f t="shared" si="2"/>
        <v>-0.53</v>
      </c>
      <c r="N12" s="11">
        <f t="shared" si="2"/>
        <v>-0.53</v>
      </c>
      <c r="O12" s="11">
        <f t="shared" si="2"/>
        <v>-0.53</v>
      </c>
    </row>
    <row r="13" spans="2:15">
      <c r="B13" s="3" t="s">
        <v>19</v>
      </c>
      <c r="C13" s="7" t="s">
        <v>14</v>
      </c>
      <c r="D13" s="8">
        <v>0.9</v>
      </c>
      <c r="E13" s="8">
        <v>0.9</v>
      </c>
      <c r="F13" s="8">
        <v>0.9</v>
      </c>
      <c r="G13" s="8">
        <v>0.9</v>
      </c>
      <c r="H13" s="8">
        <v>0.9</v>
      </c>
      <c r="I13" s="8">
        <v>0.9</v>
      </c>
      <c r="J13" s="8">
        <v>0.9</v>
      </c>
      <c r="K13" s="8">
        <v>0.9</v>
      </c>
      <c r="L13" s="8">
        <v>0.9</v>
      </c>
      <c r="M13" s="8">
        <v>0.9</v>
      </c>
      <c r="N13" s="8">
        <v>0.9</v>
      </c>
      <c r="O13" s="8">
        <v>0.9</v>
      </c>
    </row>
    <row r="14" spans="2:15">
      <c r="B14" s="4"/>
      <c r="C14" s="9" t="s">
        <v>15</v>
      </c>
      <c r="D14" s="35">
        <f>SUMIFS('【入力用③】案件ごとCH（D案件以上）'!O$5:O$1048576,'【入力用③】案件ごとCH（D案件以上）'!$N$5:$N$1048576,【表示用】各メンバーCH!$B13,'【入力用③】案件ごとCH（D案件以上）'!$H$5:$H$1048576,"成立")+SUMIFS('【入力用③】案件ごとCH（D案件以上）'!O$5:O$1048576,'【入力用③】案件ごとCH（D案件以上）'!$N$5:$N$1048576,【表示用】各メンバーCH!$B13,'【入力用③】案件ごとCH（D案件以上）'!$H$5:$H$1048576,"A")</f>
        <v>1.97</v>
      </c>
      <c r="E14" s="35">
        <f>SUMIFS('【入力用③】案件ごとCH（D案件以上）'!P$5:P$1048576,'【入力用③】案件ごとCH（D案件以上）'!$N$5:$N$1048576,【表示用】各メンバーCH!$B13,'【入力用③】案件ごとCH（D案件以上）'!$H$5:$H$1048576,"成立")+SUMIFS('【入力用③】案件ごとCH（D案件以上）'!P$5:P$1048576,'【入力用③】案件ごとCH（D案件以上）'!$N$5:$N$1048576,【表示用】各メンバーCH!$B13,'【入力用③】案件ごとCH（D案件以上）'!$H$5:$H$1048576,"A")</f>
        <v>2.2050000000000001</v>
      </c>
      <c r="F14" s="35">
        <f>SUMIFS('【入力用③】案件ごとCH（D案件以上）'!Q$5:Q$1048576,'【入力用③】案件ごとCH（D案件以上）'!$N$5:$N$1048576,【表示用】各メンバーCH!$B13,'【入力用③】案件ごとCH（D案件以上）'!$H$5:$H$1048576,"成立")+SUMIFS('【入力用③】案件ごとCH（D案件以上）'!Q$5:Q$1048576,'【入力用③】案件ごとCH（D案件以上）'!$N$5:$N$1048576,【表示用】各メンバーCH!$B13,'【入力用③】案件ごとCH（D案件以上）'!$H$5:$H$1048576,"A")</f>
        <v>2.202</v>
      </c>
      <c r="G14" s="35">
        <f>SUMIFS('【入力用③】案件ごとCH（D案件以上）'!R$5:R$1048576,'【入力用③】案件ごとCH（D案件以上）'!$N$5:$N$1048576,【表示用】各メンバーCH!$B13,'【入力用③】案件ごとCH（D案件以上）'!$H$5:$H$1048576,"成立")+SUMIFS('【入力用③】案件ごとCH（D案件以上）'!R$5:R$1048576,'【入力用③】案件ごとCH（D案件以上）'!$N$5:$N$1048576,【表示用】各メンバーCH!$B13,'【入力用③】案件ごとCH（D案件以上）'!$H$5:$H$1048576,"A")</f>
        <v>0.9</v>
      </c>
      <c r="H14" s="35">
        <f>SUMIFS('【入力用③】案件ごとCH（D案件以上）'!S$5:S$1048576,'【入力用③】案件ごとCH（D案件以上）'!$N$5:$N$1048576,【表示用】各メンバーCH!$B13,'【入力用③】案件ごとCH（D案件以上）'!$H$5:$H$1048576,"成立")+SUMIFS('【入力用③】案件ごとCH（D案件以上）'!S$5:S$1048576,'【入力用③】案件ごとCH（D案件以上）'!$N$5:$N$1048576,【表示用】各メンバーCH!$B13,'【入力用③】案件ごとCH（D案件以上）'!$H$5:$H$1048576,"A")</f>
        <v>1.46</v>
      </c>
      <c r="I14" s="35">
        <f>SUMIFS('【入力用③】案件ごとCH（D案件以上）'!T$5:T$1048576,'【入力用③】案件ごとCH（D案件以上）'!$N$5:$N$1048576,【表示用】各メンバーCH!$B13,'【入力用③】案件ごとCH（D案件以上）'!$H$5:$H$1048576,"成立")+SUMIFS('【入力用③】案件ごとCH（D案件以上）'!T$5:T$1048576,'【入力用③】案件ごとCH（D案件以上）'!$N$5:$N$1048576,【表示用】各メンバーCH!$B13,'【入力用③】案件ごとCH（D案件以上）'!$H$5:$H$1048576,"A")</f>
        <v>1.2699999999999998</v>
      </c>
      <c r="J14" s="35">
        <f>SUMIFS('【入力用③】案件ごとCH（D案件以上）'!U$5:U$1048576,'【入力用③】案件ごとCH（D案件以上）'!$N$5:$N$1048576,【表示用】各メンバーCH!$B13,'【入力用③】案件ごとCH（D案件以上）'!$H$5:$H$1048576,"成立")+SUMIFS('【入力用③】案件ごとCH（D案件以上）'!U$5:U$1048576,'【入力用③】案件ごとCH（D案件以上）'!$N$5:$N$1048576,【表示用】各メンバーCH!$B13,'【入力用③】案件ごとCH（D案件以上）'!$H$5:$H$1048576,"A")</f>
        <v>0.63500000000000001</v>
      </c>
      <c r="K14" s="35">
        <f>SUMIFS('【入力用③】案件ごとCH（D案件以上）'!V$5:V$1048576,'【入力用③】案件ごとCH（D案件以上）'!$N$5:$N$1048576,【表示用】各メンバーCH!$B13,'【入力用③】案件ごとCH（D案件以上）'!$H$5:$H$1048576,"成立")+SUMIFS('【入力用③】案件ごとCH（D案件以上）'!V$5:V$1048576,'【入力用③】案件ごとCH（D案件以上）'!$N$5:$N$1048576,【表示用】各メンバーCH!$B13,'【入力用③】案件ごとCH（D案件以上）'!$H$5:$H$1048576,"A")</f>
        <v>4.4999999999999998E-2</v>
      </c>
      <c r="L14" s="35">
        <f>SUMIFS('【入力用③】案件ごとCH（D案件以上）'!W$5:W$1048576,'【入力用③】案件ごとCH（D案件以上）'!$N$5:$N$1048576,【表示用】各メンバーCH!$B13,'【入力用③】案件ごとCH（D案件以上）'!$H$5:$H$1048576,"成立")+SUMIFS('【入力用③】案件ごとCH（D案件以上）'!W$5:W$1048576,'【入力用③】案件ごとCH（D案件以上）'!$N$5:$N$1048576,【表示用】各メンバーCH!$B13,'【入力用③】案件ごとCH（D案件以上）'!$H$5:$H$1048576,"A")</f>
        <v>4.4999999999999998E-2</v>
      </c>
      <c r="M14" s="35">
        <f>SUMIFS('【入力用③】案件ごとCH（D案件以上）'!X$5:X$1048576,'【入力用③】案件ごとCH（D案件以上）'!$N$5:$N$1048576,【表示用】各メンバーCH!$B13,'【入力用③】案件ごとCH（D案件以上）'!$H$5:$H$1048576,"成立")+SUMIFS('【入力用③】案件ごとCH（D案件以上）'!X$5:X$1048576,'【入力用③】案件ごとCH（D案件以上）'!$N$5:$N$1048576,【表示用】各メンバーCH!$B13,'【入力用③】案件ごとCH（D案件以上）'!$H$5:$H$1048576,"A")</f>
        <v>4.4999999999999998E-2</v>
      </c>
      <c r="N14" s="35">
        <f>SUMIFS('【入力用③】案件ごとCH（D案件以上）'!Y$5:Y$1048576,'【入力用③】案件ごとCH（D案件以上）'!$N$5:$N$1048576,【表示用】各メンバーCH!$B13,'【入力用③】案件ごとCH（D案件以上）'!$H$5:$H$1048576,"成立")+SUMIFS('【入力用③】案件ごとCH（D案件以上）'!Y$5:Y$1048576,'【入力用③】案件ごとCH（D案件以上）'!$N$5:$N$1048576,【表示用】各メンバーCH!$B13,'【入力用③】案件ごとCH（D案件以上）'!$H$5:$H$1048576,"A")</f>
        <v>4.4999999999999998E-2</v>
      </c>
      <c r="O14" s="35">
        <f>SUMIFS('【入力用③】案件ごとCH（D案件以上）'!Z$5:Z$1048576,'【入力用③】案件ごとCH（D案件以上）'!$N$5:$N$1048576,【表示用】各メンバーCH!$B13,'【入力用③】案件ごとCH（D案件以上）'!$H$5:$H$1048576,"成立")+SUMIFS('【入力用③】案件ごとCH（D案件以上）'!Z$5:Z$1048576,'【入力用③】案件ごとCH（D案件以上）'!$N$5:$N$1048576,【表示用】各メンバーCH!$B13,'【入力用③】案件ごとCH（D案件以上）'!$H$5:$H$1048576,"A")</f>
        <v>0</v>
      </c>
    </row>
    <row r="15" spans="2:15">
      <c r="B15" s="5"/>
      <c r="C15" s="10" t="s">
        <v>16</v>
      </c>
      <c r="D15" s="11">
        <f>D14-D13</f>
        <v>1.0699999999999998</v>
      </c>
      <c r="E15" s="11">
        <f t="shared" ref="E15:O15" si="3">E14-E13</f>
        <v>1.3050000000000002</v>
      </c>
      <c r="F15" s="11">
        <f t="shared" si="3"/>
        <v>1.302</v>
      </c>
      <c r="G15" s="11">
        <f t="shared" si="3"/>
        <v>0</v>
      </c>
      <c r="H15" s="11">
        <f t="shared" si="3"/>
        <v>0.55999999999999994</v>
      </c>
      <c r="I15" s="11">
        <f t="shared" si="3"/>
        <v>0.36999999999999977</v>
      </c>
      <c r="J15" s="11">
        <f t="shared" si="3"/>
        <v>-0.26500000000000001</v>
      </c>
      <c r="K15" s="11">
        <f t="shared" si="3"/>
        <v>-0.85499999999999998</v>
      </c>
      <c r="L15" s="11">
        <f t="shared" si="3"/>
        <v>-0.85499999999999998</v>
      </c>
      <c r="M15" s="11">
        <f t="shared" si="3"/>
        <v>-0.85499999999999998</v>
      </c>
      <c r="N15" s="11">
        <f t="shared" si="3"/>
        <v>-0.85499999999999998</v>
      </c>
      <c r="O15" s="11">
        <f t="shared" si="3"/>
        <v>-0.9</v>
      </c>
    </row>
    <row r="16" spans="2:15">
      <c r="B16" s="3" t="s">
        <v>20</v>
      </c>
      <c r="C16" s="7" t="s">
        <v>14</v>
      </c>
      <c r="D16" s="8">
        <v>0.9</v>
      </c>
      <c r="E16" s="8">
        <v>0.9</v>
      </c>
      <c r="F16" s="8">
        <v>0.9</v>
      </c>
      <c r="G16" s="8">
        <v>0.9</v>
      </c>
      <c r="H16" s="8">
        <v>0.9</v>
      </c>
      <c r="I16" s="8">
        <v>0.9</v>
      </c>
      <c r="J16" s="8">
        <v>0.9</v>
      </c>
      <c r="K16" s="8">
        <v>0.9</v>
      </c>
      <c r="L16" s="8">
        <v>0.9</v>
      </c>
      <c r="M16" s="8">
        <v>0.9</v>
      </c>
      <c r="N16" s="8">
        <v>0.9</v>
      </c>
      <c r="O16" s="8">
        <v>0.9</v>
      </c>
    </row>
    <row r="17" spans="2:15">
      <c r="B17" s="4"/>
      <c r="C17" s="9" t="s">
        <v>15</v>
      </c>
      <c r="D17" s="35">
        <f>SUMIFS('【入力用③】案件ごとCH（D案件以上）'!O$5:O$1048576,'【入力用③】案件ごとCH（D案件以上）'!$N$5:$N$1048576,【表示用】各メンバーCH!$B16,'【入力用③】案件ごとCH（D案件以上）'!$H$5:$H$1048576,"成立")+SUMIFS('【入力用③】案件ごとCH（D案件以上）'!O$5:O$1048576,'【入力用③】案件ごとCH（D案件以上）'!$N$5:$N$1048576,【表示用】各メンバーCH!$B16,'【入力用③】案件ごとCH（D案件以上）'!$H$5:$H$1048576,"A")</f>
        <v>0.98</v>
      </c>
      <c r="E17" s="35">
        <f>SUMIFS('【入力用③】案件ごとCH（D案件以上）'!P$5:P$1048576,'【入力用③】案件ごとCH（D案件以上）'!$N$5:$N$1048576,【表示用】各メンバーCH!$B16,'【入力用③】案件ごとCH（D案件以上）'!$H$5:$H$1048576,"成立")+SUMIFS('【入力用③】案件ごとCH（D案件以上）'!P$5:P$1048576,'【入力用③】案件ごとCH（D案件以上）'!$N$5:$N$1048576,【表示用】各メンバーCH!$B16,'【入力用③】案件ごとCH（D案件以上）'!$H$5:$H$1048576,"A")</f>
        <v>1.25</v>
      </c>
      <c r="F17" s="35">
        <f>SUMIFS('【入力用③】案件ごとCH（D案件以上）'!Q$5:Q$1048576,'【入力用③】案件ごとCH（D案件以上）'!$N$5:$N$1048576,【表示用】各メンバーCH!$B16,'【入力用③】案件ごとCH（D案件以上）'!$H$5:$H$1048576,"成立")+SUMIFS('【入力用③】案件ごとCH（D案件以上）'!Q$5:Q$1048576,'【入力用③】案件ごとCH（D案件以上）'!$N$5:$N$1048576,【表示用】各メンバーCH!$B16,'【入力用③】案件ごとCH（D案件以上）'!$H$5:$H$1048576,"A")</f>
        <v>0.9</v>
      </c>
      <c r="G17" s="35">
        <f>SUMIFS('【入力用③】案件ごとCH（D案件以上）'!R$5:R$1048576,'【入力用③】案件ごとCH（D案件以上）'!$N$5:$N$1048576,【表示用】各メンバーCH!$B16,'【入力用③】案件ごとCH（D案件以上）'!$H$5:$H$1048576,"成立")+SUMIFS('【入力用③】案件ごとCH（D案件以上）'!R$5:R$1048576,'【入力用③】案件ごとCH（D案件以上）'!$N$5:$N$1048576,【表示用】各メンバーCH!$B16,'【入力用③】案件ごとCH（D案件以上）'!$H$5:$H$1048576,"A")</f>
        <v>1.1830000000000001</v>
      </c>
      <c r="H17" s="35">
        <f>SUMIFS('【入力用③】案件ごとCH（D案件以上）'!S$5:S$1048576,'【入力用③】案件ごとCH（D案件以上）'!$N$5:$N$1048576,【表示用】各メンバーCH!$B16,'【入力用③】案件ごとCH（D案件以上）'!$H$5:$H$1048576,"成立")+SUMIFS('【入力用③】案件ごとCH（D案件以上）'!S$5:S$1048576,'【入力用③】案件ごとCH（D案件以上）'!$N$5:$N$1048576,【表示用】各メンバーCH!$B16,'【入力用③】案件ごとCH（D案件以上）'!$H$5:$H$1048576,"A")</f>
        <v>0.4</v>
      </c>
      <c r="I17" s="35">
        <f>SUMIFS('【入力用③】案件ごとCH（D案件以上）'!T$5:T$1048576,'【入力用③】案件ごとCH（D案件以上）'!$N$5:$N$1048576,【表示用】各メンバーCH!$B16,'【入力用③】案件ごとCH（D案件以上）'!$H$5:$H$1048576,"成立")+SUMIFS('【入力用③】案件ごとCH（D案件以上）'!T$5:T$1048576,'【入力用③】案件ごとCH（D案件以上）'!$N$5:$N$1048576,【表示用】各メンバーCH!$B16,'【入力用③】案件ごとCH（D案件以上）'!$H$5:$H$1048576,"A")</f>
        <v>0.55000000000000004</v>
      </c>
      <c r="J17" s="35">
        <f>SUMIFS('【入力用③】案件ごとCH（D案件以上）'!U$5:U$1048576,'【入力用③】案件ごとCH（D案件以上）'!$N$5:$N$1048576,【表示用】各メンバーCH!$B16,'【入力用③】案件ごとCH（D案件以上）'!$H$5:$H$1048576,"成立")+SUMIFS('【入力用③】案件ごとCH（D案件以上）'!U$5:U$1048576,'【入力用③】案件ごとCH（D案件以上）'!$N$5:$N$1048576,【表示用】各メンバーCH!$B16,'【入力用③】案件ごとCH（D案件以上）'!$H$5:$H$1048576,"A")</f>
        <v>0.1</v>
      </c>
      <c r="K17" s="35">
        <f>SUMIFS('【入力用③】案件ごとCH（D案件以上）'!V$5:V$1048576,'【入力用③】案件ごとCH（D案件以上）'!$N$5:$N$1048576,【表示用】各メンバーCH!$B16,'【入力用③】案件ごとCH（D案件以上）'!$H$5:$H$1048576,"成立")+SUMIFS('【入力用③】案件ごとCH（D案件以上）'!V$5:V$1048576,'【入力用③】案件ごとCH（D案件以上）'!$N$5:$N$1048576,【表示用】各メンバーCH!$B16,'【入力用③】案件ごとCH（D案件以上）'!$H$5:$H$1048576,"A")</f>
        <v>0</v>
      </c>
      <c r="L17" s="35">
        <f>SUMIFS('【入力用③】案件ごとCH（D案件以上）'!W$5:W$1048576,'【入力用③】案件ごとCH（D案件以上）'!$N$5:$N$1048576,【表示用】各メンバーCH!$B16,'【入力用③】案件ごとCH（D案件以上）'!$H$5:$H$1048576,"成立")+SUMIFS('【入力用③】案件ごとCH（D案件以上）'!W$5:W$1048576,'【入力用③】案件ごとCH（D案件以上）'!$N$5:$N$1048576,【表示用】各メンバーCH!$B16,'【入力用③】案件ごとCH（D案件以上）'!$H$5:$H$1048576,"A")</f>
        <v>0</v>
      </c>
      <c r="M17" s="35">
        <f>SUMIFS('【入力用③】案件ごとCH（D案件以上）'!X$5:X$1048576,'【入力用③】案件ごとCH（D案件以上）'!$N$5:$N$1048576,【表示用】各メンバーCH!$B16,'【入力用③】案件ごとCH（D案件以上）'!$H$5:$H$1048576,"成立")+SUMIFS('【入力用③】案件ごとCH（D案件以上）'!X$5:X$1048576,'【入力用③】案件ごとCH（D案件以上）'!$N$5:$N$1048576,【表示用】各メンバーCH!$B16,'【入力用③】案件ごとCH（D案件以上）'!$H$5:$H$1048576,"A")</f>
        <v>0</v>
      </c>
      <c r="N17" s="35">
        <f>SUMIFS('【入力用③】案件ごとCH（D案件以上）'!Y$5:Y$1048576,'【入力用③】案件ごとCH（D案件以上）'!$N$5:$N$1048576,【表示用】各メンバーCH!$B16,'【入力用③】案件ごとCH（D案件以上）'!$H$5:$H$1048576,"成立")+SUMIFS('【入力用③】案件ごとCH（D案件以上）'!Y$5:Y$1048576,'【入力用③】案件ごとCH（D案件以上）'!$N$5:$N$1048576,【表示用】各メンバーCH!$B16,'【入力用③】案件ごとCH（D案件以上）'!$H$5:$H$1048576,"A")</f>
        <v>0</v>
      </c>
      <c r="O17" s="35">
        <f>SUMIFS('【入力用③】案件ごとCH（D案件以上）'!Z$5:Z$1048576,'【入力用③】案件ごとCH（D案件以上）'!$N$5:$N$1048576,【表示用】各メンバーCH!$B16,'【入力用③】案件ごとCH（D案件以上）'!$H$5:$H$1048576,"成立")+SUMIFS('【入力用③】案件ごとCH（D案件以上）'!Z$5:Z$1048576,'【入力用③】案件ごとCH（D案件以上）'!$N$5:$N$1048576,【表示用】各メンバーCH!$B16,'【入力用③】案件ごとCH（D案件以上）'!$H$5:$H$1048576,"A")</f>
        <v>0</v>
      </c>
    </row>
    <row r="18" spans="2:15">
      <c r="B18" s="5"/>
      <c r="C18" s="10" t="s">
        <v>16</v>
      </c>
      <c r="D18" s="11">
        <f>D17-D16</f>
        <v>7.999999999999996E-2</v>
      </c>
      <c r="E18" s="11">
        <f t="shared" ref="E18:O18" si="4">E17-E16</f>
        <v>0.35</v>
      </c>
      <c r="F18" s="11">
        <f t="shared" si="4"/>
        <v>0</v>
      </c>
      <c r="G18" s="11">
        <f t="shared" si="4"/>
        <v>0.28300000000000003</v>
      </c>
      <c r="H18" s="11">
        <f t="shared" si="4"/>
        <v>-0.5</v>
      </c>
      <c r="I18" s="11">
        <f t="shared" si="4"/>
        <v>-0.35</v>
      </c>
      <c r="J18" s="11">
        <f t="shared" si="4"/>
        <v>-0.8</v>
      </c>
      <c r="K18" s="11">
        <f t="shared" si="4"/>
        <v>-0.9</v>
      </c>
      <c r="L18" s="11">
        <f t="shared" si="4"/>
        <v>-0.9</v>
      </c>
      <c r="M18" s="11">
        <f t="shared" si="4"/>
        <v>-0.9</v>
      </c>
      <c r="N18" s="11">
        <f t="shared" si="4"/>
        <v>-0.9</v>
      </c>
      <c r="O18" s="11">
        <f t="shared" si="4"/>
        <v>-0.9</v>
      </c>
    </row>
    <row r="19" spans="2:15">
      <c r="B19" s="3" t="s">
        <v>21</v>
      </c>
      <c r="C19" s="7" t="s">
        <v>14</v>
      </c>
      <c r="D19" s="8">
        <v>0.9</v>
      </c>
      <c r="E19" s="8">
        <v>0.9</v>
      </c>
      <c r="F19" s="8">
        <v>0.9</v>
      </c>
      <c r="G19" s="8">
        <v>0.9</v>
      </c>
      <c r="H19" s="8">
        <v>0.9</v>
      </c>
      <c r="I19" s="8">
        <v>0.9</v>
      </c>
      <c r="J19" s="8">
        <v>0.9</v>
      </c>
      <c r="K19" s="8">
        <v>0.9</v>
      </c>
      <c r="L19" s="8">
        <v>0.9</v>
      </c>
      <c r="M19" s="8">
        <v>0.9</v>
      </c>
      <c r="N19" s="8">
        <v>0.9</v>
      </c>
      <c r="O19" s="8">
        <v>0.9</v>
      </c>
    </row>
    <row r="20" spans="2:15">
      <c r="B20" s="4"/>
      <c r="C20" s="9" t="s">
        <v>15</v>
      </c>
      <c r="D20" s="35">
        <f>SUMIFS('【入力用③】案件ごとCH（D案件以上）'!O$5:O$1048576,'【入力用③】案件ごとCH（D案件以上）'!$N$5:$N$1048576,【表示用】各メンバーCH!$B19,'【入力用③】案件ごとCH（D案件以上）'!$H$5:$H$1048576,"成立")+SUMIFS('【入力用③】案件ごとCH（D案件以上）'!O$5:O$1048576,'【入力用③】案件ごとCH（D案件以上）'!$N$5:$N$1048576,【表示用】各メンバーCH!$B19,'【入力用③】案件ごとCH（D案件以上）'!$H$5:$H$1048576,"A")</f>
        <v>0.75</v>
      </c>
      <c r="E20" s="35">
        <f>SUMIFS('【入力用③】案件ごとCH（D案件以上）'!P$5:P$1048576,'【入力用③】案件ごとCH（D案件以上）'!$N$5:$N$1048576,【表示用】各メンバーCH!$B19,'【入力用③】案件ごとCH（D案件以上）'!$H$5:$H$1048576,"成立")+SUMIFS('【入力用③】案件ごとCH（D案件以上）'!P$5:P$1048576,'【入力用③】案件ごとCH（D案件以上）'!$N$5:$N$1048576,【表示用】各メンバーCH!$B19,'【入力用③】案件ごとCH（D案件以上）'!$H$5:$H$1048576,"A")</f>
        <v>0.55000000000000004</v>
      </c>
      <c r="F20" s="35">
        <f>SUMIFS('【入力用③】案件ごとCH（D案件以上）'!Q$5:Q$1048576,'【入力用③】案件ごとCH（D案件以上）'!$N$5:$N$1048576,【表示用】各メンバーCH!$B19,'【入力用③】案件ごとCH（D案件以上）'!$H$5:$H$1048576,"成立")+SUMIFS('【入力用③】案件ごとCH（D案件以上）'!Q$5:Q$1048576,'【入力用③】案件ごとCH（D案件以上）'!$N$5:$N$1048576,【表示用】各メンバーCH!$B19,'【入力用③】案件ごとCH（D案件以上）'!$H$5:$H$1048576,"A")</f>
        <v>1.1000000000000001</v>
      </c>
      <c r="G20" s="35">
        <f>SUMIFS('【入力用③】案件ごとCH（D案件以上）'!R$5:R$1048576,'【入力用③】案件ごとCH（D案件以上）'!$N$5:$N$1048576,【表示用】各メンバーCH!$B19,'【入力用③】案件ごとCH（D案件以上）'!$H$5:$H$1048576,"成立")+SUMIFS('【入力用③】案件ごとCH（D案件以上）'!R$5:R$1048576,'【入力用③】案件ごとCH（D案件以上）'!$N$5:$N$1048576,【表示用】各メンバーCH!$B19,'【入力用③】案件ごとCH（D案件以上）'!$H$5:$H$1048576,"A")</f>
        <v>0.85000000000000009</v>
      </c>
      <c r="H20" s="35">
        <f>SUMIFS('【入力用③】案件ごとCH（D案件以上）'!S$5:S$1048576,'【入力用③】案件ごとCH（D案件以上）'!$N$5:$N$1048576,【表示用】各メンバーCH!$B19,'【入力用③】案件ごとCH（D案件以上）'!$H$5:$H$1048576,"成立")+SUMIFS('【入力用③】案件ごとCH（D案件以上）'!S$5:S$1048576,'【入力用③】案件ごとCH（D案件以上）'!$N$5:$N$1048576,【表示用】各メンバーCH!$B19,'【入力用③】案件ごとCH（D案件以上）'!$H$5:$H$1048576,"A")</f>
        <v>0.85000000000000009</v>
      </c>
      <c r="I20" s="35">
        <f>SUMIFS('【入力用③】案件ごとCH（D案件以上）'!T$5:T$1048576,'【入力用③】案件ごとCH（D案件以上）'!$N$5:$N$1048576,【表示用】各メンバーCH!$B19,'【入力用③】案件ごとCH（D案件以上）'!$H$5:$H$1048576,"成立")+SUMIFS('【入力用③】案件ごとCH（D案件以上）'!T$5:T$1048576,'【入力用③】案件ごとCH（D案件以上）'!$N$5:$N$1048576,【表示用】各メンバーCH!$B19,'【入力用③】案件ごとCH（D案件以上）'!$H$5:$H$1048576,"A")</f>
        <v>0.3</v>
      </c>
      <c r="J20" s="35">
        <f>SUMIFS('【入力用③】案件ごとCH（D案件以上）'!U$5:U$1048576,'【入力用③】案件ごとCH（D案件以上）'!$N$5:$N$1048576,【表示用】各メンバーCH!$B19,'【入力用③】案件ごとCH（D案件以上）'!$H$5:$H$1048576,"成立")+SUMIFS('【入力用③】案件ごとCH（D案件以上）'!U$5:U$1048576,'【入力用③】案件ごとCH（D案件以上）'!$N$5:$N$1048576,【表示用】各メンバーCH!$B19,'【入力用③】案件ごとCH（D案件以上）'!$H$5:$H$1048576,"A")</f>
        <v>0</v>
      </c>
      <c r="K20" s="35">
        <f>SUMIFS('【入力用③】案件ごとCH（D案件以上）'!V$5:V$1048576,'【入力用③】案件ごとCH（D案件以上）'!$N$5:$N$1048576,【表示用】各メンバーCH!$B19,'【入力用③】案件ごとCH（D案件以上）'!$H$5:$H$1048576,"成立")+SUMIFS('【入力用③】案件ごとCH（D案件以上）'!V$5:V$1048576,'【入力用③】案件ごとCH（D案件以上）'!$N$5:$N$1048576,【表示用】各メンバーCH!$B19,'【入力用③】案件ごとCH（D案件以上）'!$H$5:$H$1048576,"A")</f>
        <v>0</v>
      </c>
      <c r="L20" s="35">
        <f>SUMIFS('【入力用③】案件ごとCH（D案件以上）'!W$5:W$1048576,'【入力用③】案件ごとCH（D案件以上）'!$N$5:$N$1048576,【表示用】各メンバーCH!$B19,'【入力用③】案件ごとCH（D案件以上）'!$H$5:$H$1048576,"成立")+SUMIFS('【入力用③】案件ごとCH（D案件以上）'!W$5:W$1048576,'【入力用③】案件ごとCH（D案件以上）'!$N$5:$N$1048576,【表示用】各メンバーCH!$B19,'【入力用③】案件ごとCH（D案件以上）'!$H$5:$H$1048576,"A")</f>
        <v>0</v>
      </c>
      <c r="M20" s="35">
        <f>SUMIFS('【入力用③】案件ごとCH（D案件以上）'!X$5:X$1048576,'【入力用③】案件ごとCH（D案件以上）'!$N$5:$N$1048576,【表示用】各メンバーCH!$B19,'【入力用③】案件ごとCH（D案件以上）'!$H$5:$H$1048576,"成立")+SUMIFS('【入力用③】案件ごとCH（D案件以上）'!X$5:X$1048576,'【入力用③】案件ごとCH（D案件以上）'!$N$5:$N$1048576,【表示用】各メンバーCH!$B19,'【入力用③】案件ごとCH（D案件以上）'!$H$5:$H$1048576,"A")</f>
        <v>0</v>
      </c>
      <c r="N20" s="35">
        <f>SUMIFS('【入力用③】案件ごとCH（D案件以上）'!Y$5:Y$1048576,'【入力用③】案件ごとCH（D案件以上）'!$N$5:$N$1048576,【表示用】各メンバーCH!$B19,'【入力用③】案件ごとCH（D案件以上）'!$H$5:$H$1048576,"成立")+SUMIFS('【入力用③】案件ごとCH（D案件以上）'!Y$5:Y$1048576,'【入力用③】案件ごとCH（D案件以上）'!$N$5:$N$1048576,【表示用】各メンバーCH!$B19,'【入力用③】案件ごとCH（D案件以上）'!$H$5:$H$1048576,"A")</f>
        <v>0</v>
      </c>
      <c r="O20" s="35">
        <f>SUMIFS('【入力用③】案件ごとCH（D案件以上）'!Z$5:Z$1048576,'【入力用③】案件ごとCH（D案件以上）'!$N$5:$N$1048576,【表示用】各メンバーCH!$B19,'【入力用③】案件ごとCH（D案件以上）'!$H$5:$H$1048576,"成立")+SUMIFS('【入力用③】案件ごとCH（D案件以上）'!Z$5:Z$1048576,'【入力用③】案件ごとCH（D案件以上）'!$N$5:$N$1048576,【表示用】各メンバーCH!$B19,'【入力用③】案件ごとCH（D案件以上）'!$H$5:$H$1048576,"A")</f>
        <v>0</v>
      </c>
    </row>
    <row r="21" spans="2:15">
      <c r="B21" s="5"/>
      <c r="C21" s="10" t="s">
        <v>16</v>
      </c>
      <c r="D21" s="11">
        <f>D20-D19</f>
        <v>-0.15000000000000002</v>
      </c>
      <c r="E21" s="11">
        <f t="shared" ref="E21:O21" si="5">E20-E19</f>
        <v>-0.35</v>
      </c>
      <c r="F21" s="11">
        <f t="shared" si="5"/>
        <v>0.20000000000000007</v>
      </c>
      <c r="G21" s="11">
        <f t="shared" si="5"/>
        <v>-4.9999999999999933E-2</v>
      </c>
      <c r="H21" s="11">
        <f t="shared" si="5"/>
        <v>-4.9999999999999933E-2</v>
      </c>
      <c r="I21" s="11">
        <f t="shared" si="5"/>
        <v>-0.60000000000000009</v>
      </c>
      <c r="J21" s="11">
        <f t="shared" si="5"/>
        <v>-0.9</v>
      </c>
      <c r="K21" s="11">
        <f t="shared" si="5"/>
        <v>-0.9</v>
      </c>
      <c r="L21" s="11">
        <f t="shared" si="5"/>
        <v>-0.9</v>
      </c>
      <c r="M21" s="11">
        <f t="shared" si="5"/>
        <v>-0.9</v>
      </c>
      <c r="N21" s="11">
        <f t="shared" si="5"/>
        <v>-0.9</v>
      </c>
      <c r="O21" s="11">
        <f t="shared" si="5"/>
        <v>-0.9</v>
      </c>
    </row>
    <row r="22" spans="2:15">
      <c r="B22" s="3" t="s">
        <v>22</v>
      </c>
      <c r="C22" s="7" t="s">
        <v>14</v>
      </c>
      <c r="D22" s="8">
        <v>0.9</v>
      </c>
      <c r="E22" s="8">
        <v>0.9</v>
      </c>
      <c r="F22" s="8">
        <v>0.9</v>
      </c>
      <c r="G22" s="8">
        <v>0.9</v>
      </c>
      <c r="H22" s="8">
        <v>0.9</v>
      </c>
      <c r="I22" s="8">
        <v>0.9</v>
      </c>
      <c r="J22" s="8">
        <v>0.9</v>
      </c>
      <c r="K22" s="8">
        <v>0.9</v>
      </c>
      <c r="L22" s="8">
        <v>0.9</v>
      </c>
      <c r="M22" s="8">
        <v>0.9</v>
      </c>
      <c r="N22" s="8">
        <v>0.9</v>
      </c>
      <c r="O22" s="8">
        <v>0.9</v>
      </c>
    </row>
    <row r="23" spans="2:15">
      <c r="B23" s="4"/>
      <c r="C23" s="9" t="s">
        <v>15</v>
      </c>
      <c r="D23" s="35">
        <f>SUMIFS('【入力用③】案件ごとCH（D案件以上）'!O$5:O$1048576,'【入力用③】案件ごとCH（D案件以上）'!$N$5:$N$1048576,【表示用】各メンバーCH!$B22,'【入力用③】案件ごとCH（D案件以上）'!$H$5:$H$1048576,"成立")+SUMIFS('【入力用③】案件ごとCH（D案件以上）'!O$5:O$1048576,'【入力用③】案件ごとCH（D案件以上）'!$N$5:$N$1048576,【表示用】各メンバーCH!$B22,'【入力用③】案件ごとCH（D案件以上）'!$H$5:$H$1048576,"A")</f>
        <v>1.1659000000000002</v>
      </c>
      <c r="E23" s="35">
        <f>SUMIFS('【入力用③】案件ごとCH（D案件以上）'!P$5:P$1048576,'【入力用③】案件ごとCH（D案件以上）'!$N$5:$N$1048576,【表示用】各メンバーCH!$B22,'【入力用③】案件ごとCH（D案件以上）'!$H$5:$H$1048576,"成立")+SUMIFS('【入力用③】案件ごとCH（D案件以上）'!P$5:P$1048576,'【入力用③】案件ごとCH（D案件以上）'!$N$5:$N$1048576,【表示用】各メンバーCH!$B22,'【入力用③】案件ごとCH（D案件以上）'!$H$5:$H$1048576,"A")</f>
        <v>2.2000000000000002</v>
      </c>
      <c r="F23" s="35">
        <f>SUMIFS('【入力用③】案件ごとCH（D案件以上）'!Q$5:Q$1048576,'【入力用③】案件ごとCH（D案件以上）'!$N$5:$N$1048576,【表示用】各メンバーCH!$B22,'【入力用③】案件ごとCH（D案件以上）'!$H$5:$H$1048576,"成立")+SUMIFS('【入力用③】案件ごとCH（D案件以上）'!Q$5:Q$1048576,'【入力用③】案件ごとCH（D案件以上）'!$N$5:$N$1048576,【表示用】各メンバーCH!$B22,'【入力用③】案件ごとCH（D案件以上）'!$H$5:$H$1048576,"A")</f>
        <v>1.35</v>
      </c>
      <c r="G23" s="35">
        <f>SUMIFS('【入力用③】案件ごとCH（D案件以上）'!R$5:R$1048576,'【入力用③】案件ごとCH（D案件以上）'!$N$5:$N$1048576,【表示用】各メンバーCH!$B22,'【入力用③】案件ごとCH（D案件以上）'!$H$5:$H$1048576,"成立")+SUMIFS('【入力用③】案件ごとCH（D案件以上）'!R$5:R$1048576,'【入力用③】案件ごとCH（D案件以上）'!$N$5:$N$1048576,【表示用】各メンバーCH!$B22,'【入力用③】案件ごとCH（D案件以上）'!$H$5:$H$1048576,"A")</f>
        <v>1.6399999999999997</v>
      </c>
      <c r="H23" s="35">
        <f>SUMIFS('【入力用③】案件ごとCH（D案件以上）'!S$5:S$1048576,'【入力用③】案件ごとCH（D案件以上）'!$N$5:$N$1048576,【表示用】各メンバーCH!$B22,'【入力用③】案件ごとCH（D案件以上）'!$H$5:$H$1048576,"成立")+SUMIFS('【入力用③】案件ごとCH（D案件以上）'!S$5:S$1048576,'【入力用③】案件ごとCH（D案件以上）'!$N$5:$N$1048576,【表示用】各メンバーCH!$B22,'【入力用③】案件ごとCH（D案件以上）'!$H$5:$H$1048576,"A")</f>
        <v>0.52</v>
      </c>
      <c r="I23" s="35">
        <f>SUMIFS('【入力用③】案件ごとCH（D案件以上）'!T$5:T$1048576,'【入力用③】案件ごとCH（D案件以上）'!$N$5:$N$1048576,【表示用】各メンバーCH!$B22,'【入力用③】案件ごとCH（D案件以上）'!$H$5:$H$1048576,"成立")+SUMIFS('【入力用③】案件ごとCH（D案件以上）'!T$5:T$1048576,'【入力用③】案件ごとCH（D案件以上）'!$N$5:$N$1048576,【表示用】各メンバーCH!$B22,'【入力用③】案件ごとCH（D案件以上）'!$H$5:$H$1048576,"A")</f>
        <v>0.8</v>
      </c>
      <c r="J23" s="35">
        <f>SUMIFS('【入力用③】案件ごとCH（D案件以上）'!U$5:U$1048576,'【入力用③】案件ごとCH（D案件以上）'!$N$5:$N$1048576,【表示用】各メンバーCH!$B22,'【入力用③】案件ごとCH（D案件以上）'!$H$5:$H$1048576,"成立")+SUMIFS('【入力用③】案件ごとCH（D案件以上）'!U$5:U$1048576,'【入力用③】案件ごとCH（D案件以上）'!$N$5:$N$1048576,【表示用】各メンバーCH!$B22,'【入力用③】案件ごとCH（D案件以上）'!$H$5:$H$1048576,"A")</f>
        <v>0.8</v>
      </c>
      <c r="K23" s="35">
        <f>SUMIFS('【入力用③】案件ごとCH（D案件以上）'!V$5:V$1048576,'【入力用③】案件ごとCH（D案件以上）'!$N$5:$N$1048576,【表示用】各メンバーCH!$B22,'【入力用③】案件ごとCH（D案件以上）'!$H$5:$H$1048576,"成立")+SUMIFS('【入力用③】案件ごとCH（D案件以上）'!V$5:V$1048576,'【入力用③】案件ごとCH（D案件以上）'!$N$5:$N$1048576,【表示用】各メンバーCH!$B22,'【入力用③】案件ごとCH（D案件以上）'!$H$5:$H$1048576,"A")</f>
        <v>0.4</v>
      </c>
      <c r="L23" s="35">
        <f>SUMIFS('【入力用③】案件ごとCH（D案件以上）'!W$5:W$1048576,'【入力用③】案件ごとCH（D案件以上）'!$N$5:$N$1048576,【表示用】各メンバーCH!$B22,'【入力用③】案件ごとCH（D案件以上）'!$H$5:$H$1048576,"成立")+SUMIFS('【入力用③】案件ごとCH（D案件以上）'!W$5:W$1048576,'【入力用③】案件ごとCH（D案件以上）'!$N$5:$N$1048576,【表示用】各メンバーCH!$B22,'【入力用③】案件ごとCH（D案件以上）'!$H$5:$H$1048576,"A")</f>
        <v>0.4</v>
      </c>
      <c r="M23" s="35">
        <f>SUMIFS('【入力用③】案件ごとCH（D案件以上）'!X$5:X$1048576,'【入力用③】案件ごとCH（D案件以上）'!$N$5:$N$1048576,【表示用】各メンバーCH!$B22,'【入力用③】案件ごとCH（D案件以上）'!$H$5:$H$1048576,"成立")+SUMIFS('【入力用③】案件ごとCH（D案件以上）'!X$5:X$1048576,'【入力用③】案件ごとCH（D案件以上）'!$N$5:$N$1048576,【表示用】各メンバーCH!$B22,'【入力用③】案件ごとCH（D案件以上）'!$H$5:$H$1048576,"A")</f>
        <v>0.4</v>
      </c>
      <c r="N23" s="35">
        <f>SUMIFS('【入力用③】案件ごとCH（D案件以上）'!Y$5:Y$1048576,'【入力用③】案件ごとCH（D案件以上）'!$N$5:$N$1048576,【表示用】各メンバーCH!$B22,'【入力用③】案件ごとCH（D案件以上）'!$H$5:$H$1048576,"成立")+SUMIFS('【入力用③】案件ごとCH（D案件以上）'!Y$5:Y$1048576,'【入力用③】案件ごとCH（D案件以上）'!$N$5:$N$1048576,【表示用】各メンバーCH!$B22,'【入力用③】案件ごとCH（D案件以上）'!$H$5:$H$1048576,"A")</f>
        <v>0.4</v>
      </c>
      <c r="O23" s="35">
        <f>SUMIFS('【入力用③】案件ごとCH（D案件以上）'!Z$5:Z$1048576,'【入力用③】案件ごとCH（D案件以上）'!$N$5:$N$1048576,【表示用】各メンバーCH!$B22,'【入力用③】案件ごとCH（D案件以上）'!$H$5:$H$1048576,"成立")+SUMIFS('【入力用③】案件ごとCH（D案件以上）'!Z$5:Z$1048576,'【入力用③】案件ごとCH（D案件以上）'!$N$5:$N$1048576,【表示用】各メンバーCH!$B22,'【入力用③】案件ごとCH（D案件以上）'!$H$5:$H$1048576,"A")</f>
        <v>0</v>
      </c>
    </row>
    <row r="24" spans="2:15">
      <c r="B24" s="5"/>
      <c r="C24" s="10" t="s">
        <v>16</v>
      </c>
      <c r="D24" s="11">
        <f>D23-D22</f>
        <v>0.26590000000000014</v>
      </c>
      <c r="E24" s="11">
        <f t="shared" ref="E24:O24" si="6">E23-E22</f>
        <v>1.3000000000000003</v>
      </c>
      <c r="F24" s="11">
        <f t="shared" si="6"/>
        <v>0.45000000000000007</v>
      </c>
      <c r="G24" s="11">
        <f t="shared" si="6"/>
        <v>0.73999999999999966</v>
      </c>
      <c r="H24" s="11">
        <f t="shared" si="6"/>
        <v>-0.38</v>
      </c>
      <c r="I24" s="11">
        <f t="shared" si="6"/>
        <v>-9.9999999999999978E-2</v>
      </c>
      <c r="J24" s="11">
        <f t="shared" si="6"/>
        <v>-9.9999999999999978E-2</v>
      </c>
      <c r="K24" s="11">
        <f t="shared" si="6"/>
        <v>-0.5</v>
      </c>
      <c r="L24" s="11">
        <f t="shared" si="6"/>
        <v>-0.5</v>
      </c>
      <c r="M24" s="11">
        <f t="shared" si="6"/>
        <v>-0.5</v>
      </c>
      <c r="N24" s="11">
        <f t="shared" si="6"/>
        <v>-0.5</v>
      </c>
      <c r="O24" s="11">
        <f t="shared" si="6"/>
        <v>-0.9</v>
      </c>
    </row>
    <row r="25" spans="2:15">
      <c r="B25" s="3" t="s">
        <v>23</v>
      </c>
      <c r="C25" s="7" t="s">
        <v>14</v>
      </c>
      <c r="D25" s="8">
        <v>0.9</v>
      </c>
      <c r="E25" s="8">
        <v>0.9</v>
      </c>
      <c r="F25" s="8">
        <v>0.9</v>
      </c>
      <c r="G25" s="8">
        <v>0.9</v>
      </c>
      <c r="H25" s="8">
        <v>0.9</v>
      </c>
      <c r="I25" s="8">
        <v>0.9</v>
      </c>
      <c r="J25" s="8">
        <v>0.9</v>
      </c>
      <c r="K25" s="8">
        <v>0.9</v>
      </c>
      <c r="L25" s="8">
        <v>0.9</v>
      </c>
      <c r="M25" s="8">
        <v>0.9</v>
      </c>
      <c r="N25" s="8">
        <v>0.9</v>
      </c>
      <c r="O25" s="8">
        <v>0.9</v>
      </c>
    </row>
    <row r="26" spans="2:15">
      <c r="B26" s="4"/>
      <c r="C26" s="9" t="s">
        <v>15</v>
      </c>
      <c r="D26" s="35">
        <f>SUMIFS('【入力用③】案件ごとCH（D案件以上）'!O$5:O$1048576,'【入力用③】案件ごとCH（D案件以上）'!$N$5:$N$1048576,【表示用】各メンバーCH!$B25,'【入力用③】案件ごとCH（D案件以上）'!$H$5:$H$1048576,"成立")+SUMIFS('【入力用③】案件ごとCH（D案件以上）'!O$5:O$1048576,'【入力用③】案件ごとCH（D案件以上）'!$N$5:$N$1048576,【表示用】各メンバーCH!$B25,'【入力用③】案件ごとCH（D案件以上）'!$H$5:$H$1048576,"A")</f>
        <v>0.75</v>
      </c>
      <c r="E26" s="35">
        <f>SUMIFS('【入力用③】案件ごとCH（D案件以上）'!P$5:P$1048576,'【入力用③】案件ごとCH（D案件以上）'!$N$5:$N$1048576,【表示用】各メンバーCH!$B25,'【入力用③】案件ごとCH（D案件以上）'!$H$5:$H$1048576,"成立")+SUMIFS('【入力用③】案件ごとCH（D案件以上）'!P$5:P$1048576,'【入力用③】案件ごとCH（D案件以上）'!$N$5:$N$1048576,【表示用】各メンバーCH!$B25,'【入力用③】案件ごとCH（D案件以上）'!$H$5:$H$1048576,"A")</f>
        <v>0.97000000000000008</v>
      </c>
      <c r="F26" s="35">
        <f>SUMIFS('【入力用③】案件ごとCH（D案件以上）'!Q$5:Q$1048576,'【入力用③】案件ごとCH（D案件以上）'!$N$5:$N$1048576,【表示用】各メンバーCH!$B25,'【入力用③】案件ごとCH（D案件以上）'!$H$5:$H$1048576,"成立")+SUMIFS('【入力用③】案件ごとCH（D案件以上）'!Q$5:Q$1048576,'【入力用③】案件ごとCH（D案件以上）'!$N$5:$N$1048576,【表示用】各メンバーCH!$B25,'【入力用③】案件ごとCH（D案件以上）'!$H$5:$H$1048576,"A")</f>
        <v>0.69</v>
      </c>
      <c r="G26" s="35">
        <f>SUMIFS('【入力用③】案件ごとCH（D案件以上）'!R$5:R$1048576,'【入力用③】案件ごとCH（D案件以上）'!$N$5:$N$1048576,【表示用】各メンバーCH!$B25,'【入力用③】案件ごとCH（D案件以上）'!$H$5:$H$1048576,"成立")+SUMIFS('【入力用③】案件ごとCH（D案件以上）'!R$5:R$1048576,'【入力用③】案件ごとCH（D案件以上）'!$N$5:$N$1048576,【表示用】各メンバーCH!$B25,'【入力用③】案件ごとCH（D案件以上）'!$H$5:$H$1048576,"A")</f>
        <v>0.75</v>
      </c>
      <c r="H26" s="35">
        <f>SUMIFS('【入力用③】案件ごとCH（D案件以上）'!S$5:S$1048576,'【入力用③】案件ごとCH（D案件以上）'!$N$5:$N$1048576,【表示用】各メンバーCH!$B25,'【入力用③】案件ごとCH（D案件以上）'!$H$5:$H$1048576,"成立")+SUMIFS('【入力用③】案件ごとCH（D案件以上）'!S$5:S$1048576,'【入力用③】案件ごとCH（D案件以上）'!$N$5:$N$1048576,【表示用】各メンバーCH!$B25,'【入力用③】案件ごとCH（D案件以上）'!$H$5:$H$1048576,"A")</f>
        <v>0.12</v>
      </c>
      <c r="I26" s="35">
        <f>SUMIFS('【入力用③】案件ごとCH（D案件以上）'!T$5:T$1048576,'【入力用③】案件ごとCH（D案件以上）'!$N$5:$N$1048576,【表示用】各メンバーCH!$B25,'【入力用③】案件ごとCH（D案件以上）'!$H$5:$H$1048576,"成立")+SUMIFS('【入力用③】案件ごとCH（D案件以上）'!T$5:T$1048576,'【入力用③】案件ごとCH（D案件以上）'!$N$5:$N$1048576,【表示用】各メンバーCH!$B25,'【入力用③】案件ごとCH（D案件以上）'!$H$5:$H$1048576,"A")</f>
        <v>0.75</v>
      </c>
      <c r="J26" s="35">
        <f>SUMIFS('【入力用③】案件ごとCH（D案件以上）'!U$5:U$1048576,'【入力用③】案件ごとCH（D案件以上）'!$N$5:$N$1048576,【表示用】各メンバーCH!$B25,'【入力用③】案件ごとCH（D案件以上）'!$H$5:$H$1048576,"成立")+SUMIFS('【入力用③】案件ごとCH（D案件以上）'!U$5:U$1048576,'【入力用③】案件ごとCH（D案件以上）'!$N$5:$N$1048576,【表示用】各メンバーCH!$B25,'【入力用③】案件ごとCH（D案件以上）'!$H$5:$H$1048576,"A")</f>
        <v>0.69500000000000006</v>
      </c>
      <c r="K26" s="35">
        <f>SUMIFS('【入力用③】案件ごとCH（D案件以上）'!V$5:V$1048576,'【入力用③】案件ごとCH（D案件以上）'!$N$5:$N$1048576,【表示用】各メンバーCH!$B25,'【入力用③】案件ごとCH（D案件以上）'!$H$5:$H$1048576,"成立")+SUMIFS('【入力用③】案件ごとCH（D案件以上）'!V$5:V$1048576,'【入力用③】案件ごとCH（D案件以上）'!$N$5:$N$1048576,【表示用】各メンバーCH!$B25,'【入力用③】案件ごとCH（D案件以上）'!$H$5:$H$1048576,"A")</f>
        <v>0.4</v>
      </c>
      <c r="L26" s="35">
        <f>SUMIFS('【入力用③】案件ごとCH（D案件以上）'!W$5:W$1048576,'【入力用③】案件ごとCH（D案件以上）'!$N$5:$N$1048576,【表示用】各メンバーCH!$B25,'【入力用③】案件ごとCH（D案件以上）'!$H$5:$H$1048576,"成立")+SUMIFS('【入力用③】案件ごとCH（D案件以上）'!W$5:W$1048576,'【入力用③】案件ごとCH（D案件以上）'!$N$5:$N$1048576,【表示用】各メンバーCH!$B25,'【入力用③】案件ごとCH（D案件以上）'!$H$5:$H$1048576,"A")</f>
        <v>0.4</v>
      </c>
      <c r="M26" s="35">
        <f>SUMIFS('【入力用③】案件ごとCH（D案件以上）'!X$5:X$1048576,'【入力用③】案件ごとCH（D案件以上）'!$N$5:$N$1048576,【表示用】各メンバーCH!$B25,'【入力用③】案件ごとCH（D案件以上）'!$H$5:$H$1048576,"成立")+SUMIFS('【入力用③】案件ごとCH（D案件以上）'!X$5:X$1048576,'【入力用③】案件ごとCH（D案件以上）'!$N$5:$N$1048576,【表示用】各メンバーCH!$B25,'【入力用③】案件ごとCH（D案件以上）'!$H$5:$H$1048576,"A")</f>
        <v>0.4</v>
      </c>
      <c r="N26" s="35">
        <f>SUMIFS('【入力用③】案件ごとCH（D案件以上）'!Y$5:Y$1048576,'【入力用③】案件ごとCH（D案件以上）'!$N$5:$N$1048576,【表示用】各メンバーCH!$B25,'【入力用③】案件ごとCH（D案件以上）'!$H$5:$H$1048576,"成立")+SUMIFS('【入力用③】案件ごとCH（D案件以上）'!Y$5:Y$1048576,'【入力用③】案件ごとCH（D案件以上）'!$N$5:$N$1048576,【表示用】各メンバーCH!$B25,'【入力用③】案件ごとCH（D案件以上）'!$H$5:$H$1048576,"A")</f>
        <v>0.4</v>
      </c>
      <c r="O26" s="35">
        <f>SUMIFS('【入力用③】案件ごとCH（D案件以上）'!Z$5:Z$1048576,'【入力用③】案件ごとCH（D案件以上）'!$N$5:$N$1048576,【表示用】各メンバーCH!$B25,'【入力用③】案件ごとCH（D案件以上）'!$H$5:$H$1048576,"成立")+SUMIFS('【入力用③】案件ごとCH（D案件以上）'!Z$5:Z$1048576,'【入力用③】案件ごとCH（D案件以上）'!$N$5:$N$1048576,【表示用】各メンバーCH!$B25,'【入力用③】案件ごとCH（D案件以上）'!$H$5:$H$1048576,"A")</f>
        <v>0</v>
      </c>
    </row>
    <row r="27" spans="2:15">
      <c r="B27" s="5"/>
      <c r="C27" s="10" t="s">
        <v>16</v>
      </c>
      <c r="D27" s="11">
        <f>D26-D25</f>
        <v>-0.15000000000000002</v>
      </c>
      <c r="E27" s="11">
        <f t="shared" ref="E27:O27" si="7">E26-E25</f>
        <v>7.0000000000000062E-2</v>
      </c>
      <c r="F27" s="11">
        <f t="shared" si="7"/>
        <v>-0.21000000000000008</v>
      </c>
      <c r="G27" s="11">
        <f t="shared" si="7"/>
        <v>-0.15000000000000002</v>
      </c>
      <c r="H27" s="11">
        <f t="shared" si="7"/>
        <v>-0.78</v>
      </c>
      <c r="I27" s="11">
        <f t="shared" si="7"/>
        <v>-0.15000000000000002</v>
      </c>
      <c r="J27" s="11">
        <f t="shared" si="7"/>
        <v>-0.20499999999999996</v>
      </c>
      <c r="K27" s="11">
        <f t="shared" si="7"/>
        <v>-0.5</v>
      </c>
      <c r="L27" s="11">
        <f t="shared" si="7"/>
        <v>-0.5</v>
      </c>
      <c r="M27" s="11">
        <f t="shared" si="7"/>
        <v>-0.5</v>
      </c>
      <c r="N27" s="11">
        <f t="shared" si="7"/>
        <v>-0.5</v>
      </c>
      <c r="O27" s="11">
        <f t="shared" si="7"/>
        <v>-0.9</v>
      </c>
    </row>
    <row r="28" spans="2:15">
      <c r="B28" s="3" t="s">
        <v>24</v>
      </c>
      <c r="C28" s="7" t="s">
        <v>14</v>
      </c>
      <c r="D28" s="8">
        <v>0.8</v>
      </c>
      <c r="E28" s="8">
        <v>0.8</v>
      </c>
      <c r="F28" s="8">
        <v>0.8</v>
      </c>
      <c r="G28" s="8">
        <v>0.8</v>
      </c>
      <c r="H28" s="8">
        <v>0.8</v>
      </c>
      <c r="I28" s="8">
        <v>0.8</v>
      </c>
      <c r="J28" s="8">
        <v>0.8</v>
      </c>
      <c r="K28" s="8">
        <v>0.8</v>
      </c>
      <c r="L28" s="8">
        <v>0.8</v>
      </c>
      <c r="M28" s="8">
        <v>0.8</v>
      </c>
      <c r="N28" s="8">
        <v>0.8</v>
      </c>
      <c r="O28" s="8">
        <v>0.8</v>
      </c>
    </row>
    <row r="29" spans="2:15">
      <c r="B29" s="4"/>
      <c r="C29" s="9" t="s">
        <v>15</v>
      </c>
      <c r="D29" s="35">
        <f>SUMIFS('【入力用③】案件ごとCH（D案件以上）'!O$5:O$1048576,'【入力用③】案件ごとCH（D案件以上）'!$N$5:$N$1048576,【表示用】各メンバーCH!$B28,'【入力用③】案件ごとCH（D案件以上）'!$H$5:$H$1048576,"成立")+SUMIFS('【入力用③】案件ごとCH（D案件以上）'!O$5:O$1048576,'【入力用③】案件ごとCH（D案件以上）'!$N$5:$N$1048576,【表示用】各メンバーCH!$B28,'【入力用③】案件ごとCH（D案件以上）'!$H$5:$H$1048576,"A")</f>
        <v>0</v>
      </c>
      <c r="E29" s="35">
        <f>SUMIFS('【入力用③】案件ごとCH（D案件以上）'!P$5:P$1048576,'【入力用③】案件ごとCH（D案件以上）'!$N$5:$N$1048576,【表示用】各メンバーCH!$B28,'【入力用③】案件ごとCH（D案件以上）'!$H$5:$H$1048576,"成立")+SUMIFS('【入力用③】案件ごとCH（D案件以上）'!P$5:P$1048576,'【入力用③】案件ごとCH（D案件以上）'!$N$5:$N$1048576,【表示用】各メンバーCH!$B28,'【入力用③】案件ごとCH（D案件以上）'!$H$5:$H$1048576,"A")</f>
        <v>0</v>
      </c>
      <c r="F29" s="35">
        <f>SUMIFS('【入力用③】案件ごとCH（D案件以上）'!Q$5:Q$1048576,'【入力用③】案件ごとCH（D案件以上）'!$N$5:$N$1048576,【表示用】各メンバーCH!$B28,'【入力用③】案件ごとCH（D案件以上）'!$H$5:$H$1048576,"成立")+SUMIFS('【入力用③】案件ごとCH（D案件以上）'!Q$5:Q$1048576,'【入力用③】案件ごとCH（D案件以上）'!$N$5:$N$1048576,【表示用】各メンバーCH!$B28,'【入力用③】案件ごとCH（D案件以上）'!$H$5:$H$1048576,"A")</f>
        <v>0</v>
      </c>
      <c r="G29" s="35">
        <f>SUMIFS('【入力用③】案件ごとCH（D案件以上）'!R$5:R$1048576,'【入力用③】案件ごとCH（D案件以上）'!$N$5:$N$1048576,【表示用】各メンバーCH!$B28,'【入力用③】案件ごとCH（D案件以上）'!$H$5:$H$1048576,"成立")+SUMIFS('【入力用③】案件ごとCH（D案件以上）'!R$5:R$1048576,'【入力用③】案件ごとCH（D案件以上）'!$N$5:$N$1048576,【表示用】各メンバーCH!$B28,'【入力用③】案件ごとCH（D案件以上）'!$H$5:$H$1048576,"A")</f>
        <v>0</v>
      </c>
      <c r="H29" s="35">
        <f>SUMIFS('【入力用③】案件ごとCH（D案件以上）'!S$5:S$1048576,'【入力用③】案件ごとCH（D案件以上）'!$N$5:$N$1048576,【表示用】各メンバーCH!$B28,'【入力用③】案件ごとCH（D案件以上）'!$H$5:$H$1048576,"成立")+SUMIFS('【入力用③】案件ごとCH（D案件以上）'!S$5:S$1048576,'【入力用③】案件ごとCH（D案件以上）'!$N$5:$N$1048576,【表示用】各メンバーCH!$B28,'【入力用③】案件ごとCH（D案件以上）'!$H$5:$H$1048576,"A")</f>
        <v>0</v>
      </c>
      <c r="I29" s="35">
        <f>SUMIFS('【入力用③】案件ごとCH（D案件以上）'!T$5:T$1048576,'【入力用③】案件ごとCH（D案件以上）'!$N$5:$N$1048576,【表示用】各メンバーCH!$B28,'【入力用③】案件ごとCH（D案件以上）'!$H$5:$H$1048576,"成立")+SUMIFS('【入力用③】案件ごとCH（D案件以上）'!T$5:T$1048576,'【入力用③】案件ごとCH（D案件以上）'!$N$5:$N$1048576,【表示用】各メンバーCH!$B28,'【入力用③】案件ごとCH（D案件以上）'!$H$5:$H$1048576,"A")</f>
        <v>0.7</v>
      </c>
      <c r="J29" s="35">
        <f>SUMIFS('【入力用③】案件ごとCH（D案件以上）'!U$5:U$1048576,'【入力用③】案件ごとCH（D案件以上）'!$N$5:$N$1048576,【表示用】各メンバーCH!$B28,'【入力用③】案件ごとCH（D案件以上）'!$H$5:$H$1048576,"成立")+SUMIFS('【入力用③】案件ごとCH（D案件以上）'!U$5:U$1048576,'【入力用③】案件ごとCH（D案件以上）'!$N$5:$N$1048576,【表示用】各メンバーCH!$B28,'【入力用③】案件ごとCH（D案件以上）'!$H$5:$H$1048576,"A")</f>
        <v>1</v>
      </c>
      <c r="K29" s="35">
        <f>SUMIFS('【入力用③】案件ごとCH（D案件以上）'!V$5:V$1048576,'【入力用③】案件ごとCH（D案件以上）'!$N$5:$N$1048576,【表示用】各メンバーCH!$B28,'【入力用③】案件ごとCH（D案件以上）'!$H$5:$H$1048576,"成立")+SUMIFS('【入力用③】案件ごとCH（D案件以上）'!V$5:V$1048576,'【入力用③】案件ごとCH（D案件以上）'!$N$5:$N$1048576,【表示用】各メンバーCH!$B28,'【入力用③】案件ごとCH（D案件以上）'!$H$5:$H$1048576,"A")</f>
        <v>0</v>
      </c>
      <c r="L29" s="35">
        <f>SUMIFS('【入力用③】案件ごとCH（D案件以上）'!W$5:W$1048576,'【入力用③】案件ごとCH（D案件以上）'!$N$5:$N$1048576,【表示用】各メンバーCH!$B28,'【入力用③】案件ごとCH（D案件以上）'!$H$5:$H$1048576,"成立")+SUMIFS('【入力用③】案件ごとCH（D案件以上）'!W$5:W$1048576,'【入力用③】案件ごとCH（D案件以上）'!$N$5:$N$1048576,【表示用】各メンバーCH!$B28,'【入力用③】案件ごとCH（D案件以上）'!$H$5:$H$1048576,"A")</f>
        <v>0</v>
      </c>
      <c r="M29" s="35">
        <f>SUMIFS('【入力用③】案件ごとCH（D案件以上）'!X$5:X$1048576,'【入力用③】案件ごとCH（D案件以上）'!$N$5:$N$1048576,【表示用】各メンバーCH!$B28,'【入力用③】案件ごとCH（D案件以上）'!$H$5:$H$1048576,"成立")+SUMIFS('【入力用③】案件ごとCH（D案件以上）'!X$5:X$1048576,'【入力用③】案件ごとCH（D案件以上）'!$N$5:$N$1048576,【表示用】各メンバーCH!$B28,'【入力用③】案件ごとCH（D案件以上）'!$H$5:$H$1048576,"A")</f>
        <v>0</v>
      </c>
      <c r="N29" s="35">
        <f>SUMIFS('【入力用③】案件ごとCH（D案件以上）'!Y$5:Y$1048576,'【入力用③】案件ごとCH（D案件以上）'!$N$5:$N$1048576,【表示用】各メンバーCH!$B28,'【入力用③】案件ごとCH（D案件以上）'!$H$5:$H$1048576,"成立")+SUMIFS('【入力用③】案件ごとCH（D案件以上）'!Y$5:Y$1048576,'【入力用③】案件ごとCH（D案件以上）'!$N$5:$N$1048576,【表示用】各メンバーCH!$B28,'【入力用③】案件ごとCH（D案件以上）'!$H$5:$H$1048576,"A")</f>
        <v>0</v>
      </c>
      <c r="O29" s="35">
        <f>SUMIFS('【入力用③】案件ごとCH（D案件以上）'!Z$5:Z$1048576,'【入力用③】案件ごとCH（D案件以上）'!$N$5:$N$1048576,【表示用】各メンバーCH!$B28,'【入力用③】案件ごとCH（D案件以上）'!$H$5:$H$1048576,"成立")+SUMIFS('【入力用③】案件ごとCH（D案件以上）'!Z$5:Z$1048576,'【入力用③】案件ごとCH（D案件以上）'!$N$5:$N$1048576,【表示用】各メンバーCH!$B28,'【入力用③】案件ごとCH（D案件以上）'!$H$5:$H$1048576,"A")</f>
        <v>0</v>
      </c>
    </row>
    <row r="30" spans="2:15">
      <c r="B30" s="5"/>
      <c r="C30" s="10" t="s">
        <v>16</v>
      </c>
      <c r="D30" s="11">
        <f>D29-D28</f>
        <v>-0.8</v>
      </c>
      <c r="E30" s="11">
        <f t="shared" ref="E30:O30" si="8">E29-E28</f>
        <v>-0.8</v>
      </c>
      <c r="F30" s="11">
        <f t="shared" si="8"/>
        <v>-0.8</v>
      </c>
      <c r="G30" s="11">
        <f t="shared" si="8"/>
        <v>-0.8</v>
      </c>
      <c r="H30" s="11">
        <f t="shared" si="8"/>
        <v>-0.8</v>
      </c>
      <c r="I30" s="11">
        <f t="shared" si="8"/>
        <v>-0.10000000000000009</v>
      </c>
      <c r="J30" s="11">
        <f t="shared" si="8"/>
        <v>0.19999999999999996</v>
      </c>
      <c r="K30" s="11">
        <f t="shared" si="8"/>
        <v>-0.8</v>
      </c>
      <c r="L30" s="11">
        <f t="shared" si="8"/>
        <v>-0.8</v>
      </c>
      <c r="M30" s="11">
        <f t="shared" si="8"/>
        <v>-0.8</v>
      </c>
      <c r="N30" s="11">
        <f t="shared" si="8"/>
        <v>-0.8</v>
      </c>
      <c r="O30" s="11">
        <f t="shared" si="8"/>
        <v>-0.8</v>
      </c>
    </row>
    <row r="31" spans="2:15">
      <c r="B31" s="3" t="s">
        <v>25</v>
      </c>
      <c r="C31" s="7" t="s">
        <v>14</v>
      </c>
      <c r="D31" s="8"/>
      <c r="E31" s="8"/>
      <c r="F31" s="8"/>
      <c r="G31" s="8"/>
      <c r="H31" s="8"/>
      <c r="I31" s="8"/>
      <c r="J31" s="8"/>
      <c r="K31" s="8"/>
      <c r="L31" s="8"/>
      <c r="M31" s="8"/>
      <c r="N31" s="8"/>
      <c r="O31" s="8"/>
    </row>
    <row r="32" spans="2:15">
      <c r="B32" s="4"/>
      <c r="C32" s="9" t="s">
        <v>15</v>
      </c>
      <c r="D32" s="35">
        <f>SUMIFS('【入力用③】案件ごとCH（D案件以上）'!O$5:O$1048576,'【入力用③】案件ごとCH（D案件以上）'!$N$5:$N$1048576,【表示用】各メンバーCH!$B31,'【入力用③】案件ごとCH（D案件以上）'!$H$5:$H$1048576,"成立")+SUMIFS('【入力用③】案件ごとCH（D案件以上）'!O$5:O$1048576,'【入力用③】案件ごとCH（D案件以上）'!$N$5:$N$1048576,【表示用】各メンバーCH!$B31,'【入力用③】案件ごとCH（D案件以上）'!$H$5:$H$1048576,"A")</f>
        <v>0</v>
      </c>
      <c r="E32" s="35">
        <f>SUMIFS('【入力用③】案件ごとCH（D案件以上）'!P$5:P$1048576,'【入力用③】案件ごとCH（D案件以上）'!$N$5:$N$1048576,【表示用】各メンバーCH!$B31,'【入力用③】案件ごとCH（D案件以上）'!$H$5:$H$1048576,"成立")+SUMIFS('【入力用③】案件ごとCH（D案件以上）'!P$5:P$1048576,'【入力用③】案件ごとCH（D案件以上）'!$N$5:$N$1048576,【表示用】各メンバーCH!$B31,'【入力用③】案件ごとCH（D案件以上）'!$H$5:$H$1048576,"A")</f>
        <v>0</v>
      </c>
      <c r="F32" s="35">
        <f>SUMIFS('【入力用③】案件ごとCH（D案件以上）'!Q$5:Q$1048576,'【入力用③】案件ごとCH（D案件以上）'!$N$5:$N$1048576,【表示用】各メンバーCH!$B31,'【入力用③】案件ごとCH（D案件以上）'!$H$5:$H$1048576,"成立")+SUMIFS('【入力用③】案件ごとCH（D案件以上）'!Q$5:Q$1048576,'【入力用③】案件ごとCH（D案件以上）'!$N$5:$N$1048576,【表示用】各メンバーCH!$B31,'【入力用③】案件ごとCH（D案件以上）'!$H$5:$H$1048576,"A")</f>
        <v>0</v>
      </c>
      <c r="G32" s="35">
        <f>SUMIFS('【入力用③】案件ごとCH（D案件以上）'!R$5:R$1048576,'【入力用③】案件ごとCH（D案件以上）'!$N$5:$N$1048576,【表示用】各メンバーCH!$B31,'【入力用③】案件ごとCH（D案件以上）'!$H$5:$H$1048576,"成立")+SUMIFS('【入力用③】案件ごとCH（D案件以上）'!R$5:R$1048576,'【入力用③】案件ごとCH（D案件以上）'!$N$5:$N$1048576,【表示用】各メンバーCH!$B31,'【入力用③】案件ごとCH（D案件以上）'!$H$5:$H$1048576,"A")</f>
        <v>0</v>
      </c>
      <c r="H32" s="35">
        <f>SUMIFS('【入力用③】案件ごとCH（D案件以上）'!S$5:S$1048576,'【入力用③】案件ごとCH（D案件以上）'!$N$5:$N$1048576,【表示用】各メンバーCH!$B31,'【入力用③】案件ごとCH（D案件以上）'!$H$5:$H$1048576,"成立")+SUMIFS('【入力用③】案件ごとCH（D案件以上）'!S$5:S$1048576,'【入力用③】案件ごとCH（D案件以上）'!$N$5:$N$1048576,【表示用】各メンバーCH!$B31,'【入力用③】案件ごとCH（D案件以上）'!$H$5:$H$1048576,"A")</f>
        <v>0</v>
      </c>
      <c r="I32" s="35">
        <f>SUMIFS('【入力用③】案件ごとCH（D案件以上）'!T$5:T$1048576,'【入力用③】案件ごとCH（D案件以上）'!$N$5:$N$1048576,【表示用】各メンバーCH!$B31,'【入力用③】案件ごとCH（D案件以上）'!$H$5:$H$1048576,"成立")+SUMIFS('【入力用③】案件ごとCH（D案件以上）'!T$5:T$1048576,'【入力用③】案件ごとCH（D案件以上）'!$N$5:$N$1048576,【表示用】各メンバーCH!$B31,'【入力用③】案件ごとCH（D案件以上）'!$H$5:$H$1048576,"A")</f>
        <v>0</v>
      </c>
      <c r="J32" s="35">
        <f>SUMIFS('【入力用③】案件ごとCH（D案件以上）'!U$5:U$1048576,'【入力用③】案件ごとCH（D案件以上）'!$N$5:$N$1048576,【表示用】各メンバーCH!$B31,'【入力用③】案件ごとCH（D案件以上）'!$H$5:$H$1048576,"成立")+SUMIFS('【入力用③】案件ごとCH（D案件以上）'!U$5:U$1048576,'【入力用③】案件ごとCH（D案件以上）'!$N$5:$N$1048576,【表示用】各メンバーCH!$B31,'【入力用③】案件ごとCH（D案件以上）'!$H$5:$H$1048576,"A")</f>
        <v>0</v>
      </c>
      <c r="K32" s="35">
        <f>SUMIFS('【入力用③】案件ごとCH（D案件以上）'!V$5:V$1048576,'【入力用③】案件ごとCH（D案件以上）'!$N$5:$N$1048576,【表示用】各メンバーCH!$B31,'【入力用③】案件ごとCH（D案件以上）'!$H$5:$H$1048576,"成立")+SUMIFS('【入力用③】案件ごとCH（D案件以上）'!V$5:V$1048576,'【入力用③】案件ごとCH（D案件以上）'!$N$5:$N$1048576,【表示用】各メンバーCH!$B31,'【入力用③】案件ごとCH（D案件以上）'!$H$5:$H$1048576,"A")</f>
        <v>0</v>
      </c>
      <c r="L32" s="35">
        <f>SUMIFS('【入力用③】案件ごとCH（D案件以上）'!W$5:W$1048576,'【入力用③】案件ごとCH（D案件以上）'!$N$5:$N$1048576,【表示用】各メンバーCH!$B31,'【入力用③】案件ごとCH（D案件以上）'!$H$5:$H$1048576,"成立")+SUMIFS('【入力用③】案件ごとCH（D案件以上）'!W$5:W$1048576,'【入力用③】案件ごとCH（D案件以上）'!$N$5:$N$1048576,【表示用】各メンバーCH!$B31,'【入力用③】案件ごとCH（D案件以上）'!$H$5:$H$1048576,"A")</f>
        <v>0</v>
      </c>
      <c r="M32" s="35">
        <f>SUMIFS('【入力用③】案件ごとCH（D案件以上）'!X$5:X$1048576,'【入力用③】案件ごとCH（D案件以上）'!$N$5:$N$1048576,【表示用】各メンバーCH!$B31,'【入力用③】案件ごとCH（D案件以上）'!$H$5:$H$1048576,"成立")+SUMIFS('【入力用③】案件ごとCH（D案件以上）'!X$5:X$1048576,'【入力用③】案件ごとCH（D案件以上）'!$N$5:$N$1048576,【表示用】各メンバーCH!$B31,'【入力用③】案件ごとCH（D案件以上）'!$H$5:$H$1048576,"A")</f>
        <v>0</v>
      </c>
      <c r="N32" s="35">
        <f>SUMIFS('【入力用③】案件ごとCH（D案件以上）'!Y$5:Y$1048576,'【入力用③】案件ごとCH（D案件以上）'!$N$5:$N$1048576,【表示用】各メンバーCH!$B31,'【入力用③】案件ごとCH（D案件以上）'!$H$5:$H$1048576,"成立")+SUMIFS('【入力用③】案件ごとCH（D案件以上）'!Y$5:Y$1048576,'【入力用③】案件ごとCH（D案件以上）'!$N$5:$N$1048576,【表示用】各メンバーCH!$B31,'【入力用③】案件ごとCH（D案件以上）'!$H$5:$H$1048576,"A")</f>
        <v>0</v>
      </c>
      <c r="O32" s="35">
        <f>SUMIFS('【入力用③】案件ごとCH（D案件以上）'!Z$5:Z$1048576,'【入力用③】案件ごとCH（D案件以上）'!$N$5:$N$1048576,【表示用】各メンバーCH!$B31,'【入力用③】案件ごとCH（D案件以上）'!$H$5:$H$1048576,"成立")+SUMIFS('【入力用③】案件ごとCH（D案件以上）'!Z$5:Z$1048576,'【入力用③】案件ごとCH（D案件以上）'!$N$5:$N$1048576,【表示用】各メンバーCH!$B31,'【入力用③】案件ごとCH（D案件以上）'!$H$5:$H$1048576,"A")</f>
        <v>0</v>
      </c>
    </row>
    <row r="33" spans="2:15">
      <c r="B33" s="5"/>
      <c r="C33" s="10" t="s">
        <v>16</v>
      </c>
      <c r="D33" s="11">
        <f>D32-D31</f>
        <v>0</v>
      </c>
      <c r="E33" s="11">
        <f t="shared" ref="E33:O33" si="9">E32-E31</f>
        <v>0</v>
      </c>
      <c r="F33" s="11">
        <f t="shared" si="9"/>
        <v>0</v>
      </c>
      <c r="G33" s="11">
        <f t="shared" si="9"/>
        <v>0</v>
      </c>
      <c r="H33" s="11">
        <f t="shared" si="9"/>
        <v>0</v>
      </c>
      <c r="I33" s="11">
        <f t="shared" si="9"/>
        <v>0</v>
      </c>
      <c r="J33" s="11">
        <f t="shared" si="9"/>
        <v>0</v>
      </c>
      <c r="K33" s="11">
        <f t="shared" si="9"/>
        <v>0</v>
      </c>
      <c r="L33" s="11">
        <f t="shared" si="9"/>
        <v>0</v>
      </c>
      <c r="M33" s="11">
        <f t="shared" si="9"/>
        <v>0</v>
      </c>
      <c r="N33" s="11">
        <f t="shared" si="9"/>
        <v>0</v>
      </c>
      <c r="O33" s="11">
        <f t="shared" si="9"/>
        <v>0</v>
      </c>
    </row>
  </sheetData>
  <phoneticPr fontId="3"/>
  <conditionalFormatting sqref="D6:O6">
    <cfRule type="cellIs" dxfId="24" priority="33" operator="lessThan">
      <formula>0</formula>
    </cfRule>
  </conditionalFormatting>
  <conditionalFormatting sqref="D9:O9">
    <cfRule type="cellIs" dxfId="23" priority="32" operator="lessThan">
      <formula>0</formula>
    </cfRule>
  </conditionalFormatting>
  <conditionalFormatting sqref="D12:O12">
    <cfRule type="cellIs" dxfId="22" priority="31" operator="lessThan">
      <formula>0</formula>
    </cfRule>
  </conditionalFormatting>
  <conditionalFormatting sqref="D15:O15">
    <cfRule type="cellIs" dxfId="21" priority="30" operator="lessThan">
      <formula>0</formula>
    </cfRule>
  </conditionalFormatting>
  <conditionalFormatting sqref="D18:O18">
    <cfRule type="cellIs" dxfId="20" priority="28" operator="lessThan">
      <formula>0</formula>
    </cfRule>
  </conditionalFormatting>
  <conditionalFormatting sqref="D21:O21">
    <cfRule type="cellIs" dxfId="19" priority="27" operator="lessThan">
      <formula>0</formula>
    </cfRule>
  </conditionalFormatting>
  <conditionalFormatting sqref="D24:O24">
    <cfRule type="cellIs" dxfId="18" priority="26" operator="lessThan">
      <formula>0</formula>
    </cfRule>
  </conditionalFormatting>
  <conditionalFormatting sqref="D27:O27">
    <cfRule type="cellIs" dxfId="17" priority="25" operator="lessThan">
      <formula>0</formula>
    </cfRule>
  </conditionalFormatting>
  <conditionalFormatting sqref="D30:O30">
    <cfRule type="cellIs" dxfId="16" priority="24" operator="lessThan">
      <formula>0</formula>
    </cfRule>
  </conditionalFormatting>
  <conditionalFormatting sqref="D33:O33">
    <cfRule type="cellIs" dxfId="15" priority="23" operator="lessThan">
      <formula>0</formula>
    </cfRule>
  </conditionalFormatting>
  <pageMargins left="0.7" right="0.7" top="0.75" bottom="0.75" header="0.3" footer="0.3"/>
  <pageSetup paperSize="9" fitToWidth="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61574-E9A7-40F5-B100-CF775950EF2B}">
  <sheetPr>
    <pageSetUpPr fitToPage="1"/>
  </sheetPr>
  <dimension ref="A2:Q46"/>
  <sheetViews>
    <sheetView showGridLines="0" zoomScale="86" zoomScaleNormal="100" workbookViewId="0">
      <selection activeCell="P21" sqref="P21"/>
    </sheetView>
  </sheetViews>
  <sheetFormatPr defaultColWidth="8.58203125" defaultRowHeight="15"/>
  <cols>
    <col min="1" max="1" width="8.58203125" style="1"/>
    <col min="2" max="2" width="9" style="1" bestFit="1" customWidth="1"/>
    <col min="3" max="3" width="15.5" style="1" bestFit="1" customWidth="1"/>
    <col min="4" max="6" width="9.08203125" style="1" bestFit="1" customWidth="1"/>
    <col min="7" max="9" width="9.58203125" style="1" bestFit="1" customWidth="1"/>
    <col min="10" max="15" width="9.58203125" style="1" customWidth="1"/>
    <col min="16" max="16" width="9.83203125" style="1" bestFit="1" customWidth="1"/>
    <col min="17" max="16384" width="8.58203125" style="1"/>
  </cols>
  <sheetData>
    <row r="2" spans="1:17">
      <c r="A2" s="4"/>
      <c r="B2" s="4"/>
      <c r="C2" s="4"/>
      <c r="D2" s="4"/>
      <c r="E2" s="4"/>
      <c r="F2" s="4"/>
      <c r="G2" s="4"/>
      <c r="H2" s="4"/>
      <c r="I2" s="4"/>
      <c r="J2" s="4"/>
      <c r="K2" s="4"/>
      <c r="L2" s="4"/>
      <c r="M2" s="4"/>
      <c r="N2" s="4"/>
      <c r="O2" s="4"/>
      <c r="P2" s="4"/>
      <c r="Q2" s="4"/>
    </row>
    <row r="3" spans="1:17">
      <c r="A3" s="4"/>
      <c r="B3" s="23" t="s">
        <v>26</v>
      </c>
      <c r="C3" s="4"/>
      <c r="D3" s="4"/>
      <c r="E3" s="4"/>
      <c r="F3" s="4"/>
      <c r="G3" s="4"/>
      <c r="H3" s="4"/>
      <c r="I3" s="4"/>
      <c r="J3" s="4"/>
      <c r="K3" s="4"/>
      <c r="L3" s="4"/>
      <c r="M3" s="4"/>
      <c r="N3" s="4"/>
      <c r="O3" s="4"/>
      <c r="P3" s="4"/>
      <c r="Q3" s="4"/>
    </row>
    <row r="4" spans="1:17" ht="15.5" thickBot="1">
      <c r="A4" s="4"/>
      <c r="B4" s="4"/>
      <c r="C4" s="4"/>
      <c r="D4" s="6" t="s">
        <v>1</v>
      </c>
      <c r="E4" s="6" t="s">
        <v>2</v>
      </c>
      <c r="F4" s="6" t="s">
        <v>3</v>
      </c>
      <c r="G4" s="6" t="s">
        <v>4</v>
      </c>
      <c r="H4" s="6" t="s">
        <v>5</v>
      </c>
      <c r="I4" s="6" t="s">
        <v>6</v>
      </c>
      <c r="J4" s="6" t="s">
        <v>7</v>
      </c>
      <c r="K4" s="6" t="s">
        <v>8</v>
      </c>
      <c r="L4" s="6" t="s">
        <v>9</v>
      </c>
      <c r="M4" s="6" t="s">
        <v>10</v>
      </c>
      <c r="N4" s="6" t="s">
        <v>11</v>
      </c>
      <c r="O4" s="6" t="s">
        <v>12</v>
      </c>
      <c r="P4" s="24" t="s">
        <v>27</v>
      </c>
      <c r="Q4" s="4"/>
    </row>
    <row r="5" spans="1:17">
      <c r="A5" s="4"/>
      <c r="B5" s="25"/>
      <c r="C5" s="25" t="s">
        <v>14</v>
      </c>
      <c r="D5" s="26">
        <v>21000</v>
      </c>
      <c r="E5" s="26">
        <v>28000</v>
      </c>
      <c r="F5" s="26">
        <v>28000</v>
      </c>
      <c r="G5" s="26">
        <v>28000</v>
      </c>
      <c r="H5" s="26">
        <v>24500.000000000004</v>
      </c>
      <c r="I5" s="26">
        <v>28000</v>
      </c>
      <c r="J5" s="26">
        <v>35000</v>
      </c>
      <c r="K5" s="26">
        <v>31500</v>
      </c>
      <c r="L5" s="26">
        <v>31500</v>
      </c>
      <c r="M5" s="26">
        <v>35000</v>
      </c>
      <c r="N5" s="26">
        <v>31500</v>
      </c>
      <c r="O5" s="26">
        <v>28000</v>
      </c>
      <c r="P5" s="26">
        <f>SUM(D5:O5)</f>
        <v>350000</v>
      </c>
      <c r="Q5" s="4"/>
    </row>
    <row r="6" spans="1:17">
      <c r="A6" s="4"/>
      <c r="B6" s="3" t="s">
        <v>28</v>
      </c>
      <c r="C6" s="27" t="s">
        <v>29</v>
      </c>
      <c r="D6" s="20">
        <f>SUM(D33:D34)</f>
        <v>21320</v>
      </c>
      <c r="E6" s="20">
        <f t="shared" ref="E6:P6" si="0">SUM(E33:E34)</f>
        <v>23961</v>
      </c>
      <c r="F6" s="20">
        <f t="shared" si="0"/>
        <v>21500</v>
      </c>
      <c r="G6" s="20">
        <f t="shared" si="0"/>
        <v>19182</v>
      </c>
      <c r="H6" s="20">
        <f t="shared" si="0"/>
        <v>14900</v>
      </c>
      <c r="I6" s="20">
        <f t="shared" si="0"/>
        <v>21100</v>
      </c>
      <c r="J6" s="20">
        <f t="shared" si="0"/>
        <v>17350</v>
      </c>
      <c r="K6" s="20">
        <f t="shared" si="0"/>
        <v>7650</v>
      </c>
      <c r="L6" s="20">
        <f t="shared" si="0"/>
        <v>7650</v>
      </c>
      <c r="M6" s="20">
        <f t="shared" si="0"/>
        <v>6150</v>
      </c>
      <c r="N6" s="20">
        <f t="shared" si="0"/>
        <v>6150</v>
      </c>
      <c r="O6" s="20">
        <f t="shared" si="0"/>
        <v>700</v>
      </c>
      <c r="P6" s="20">
        <f t="shared" si="0"/>
        <v>167613</v>
      </c>
      <c r="Q6" s="4"/>
    </row>
    <row r="7" spans="1:17">
      <c r="A7" s="4"/>
      <c r="B7" s="5"/>
      <c r="C7" s="27" t="s">
        <v>16</v>
      </c>
      <c r="D7" s="20">
        <f t="shared" ref="D7:P7" si="1">D6-D5</f>
        <v>320</v>
      </c>
      <c r="E7" s="20">
        <f t="shared" si="1"/>
        <v>-4039</v>
      </c>
      <c r="F7" s="20">
        <f t="shared" si="1"/>
        <v>-6500</v>
      </c>
      <c r="G7" s="20">
        <f t="shared" si="1"/>
        <v>-8818</v>
      </c>
      <c r="H7" s="20">
        <f t="shared" si="1"/>
        <v>-9600.0000000000036</v>
      </c>
      <c r="I7" s="20">
        <f t="shared" si="1"/>
        <v>-6900</v>
      </c>
      <c r="J7" s="20">
        <f t="shared" si="1"/>
        <v>-17650</v>
      </c>
      <c r="K7" s="20">
        <f t="shared" si="1"/>
        <v>-23850</v>
      </c>
      <c r="L7" s="20">
        <f t="shared" si="1"/>
        <v>-23850</v>
      </c>
      <c r="M7" s="20">
        <f t="shared" si="1"/>
        <v>-28850</v>
      </c>
      <c r="N7" s="20">
        <f t="shared" si="1"/>
        <v>-25350</v>
      </c>
      <c r="O7" s="20">
        <f t="shared" si="1"/>
        <v>-27300</v>
      </c>
      <c r="P7" s="20">
        <f t="shared" si="1"/>
        <v>-182387</v>
      </c>
      <c r="Q7" s="4"/>
    </row>
    <row r="8" spans="1:17">
      <c r="A8" s="4"/>
      <c r="B8" s="3" t="s">
        <v>30</v>
      </c>
      <c r="C8" s="27" t="s">
        <v>31</v>
      </c>
      <c r="D8" s="20">
        <f>D41</f>
        <v>21320</v>
      </c>
      <c r="E8" s="20">
        <f t="shared" ref="E8:O8" si="2">E41</f>
        <v>24961</v>
      </c>
      <c r="F8" s="20">
        <f t="shared" si="2"/>
        <v>22500</v>
      </c>
      <c r="G8" s="20">
        <f t="shared" si="2"/>
        <v>20182</v>
      </c>
      <c r="H8" s="20">
        <f t="shared" si="2"/>
        <v>15300</v>
      </c>
      <c r="I8" s="20">
        <f t="shared" si="2"/>
        <v>21900</v>
      </c>
      <c r="J8" s="20">
        <f t="shared" si="2"/>
        <v>19940</v>
      </c>
      <c r="K8" s="20">
        <f t="shared" si="2"/>
        <v>12192</v>
      </c>
      <c r="L8" s="20">
        <f t="shared" si="2"/>
        <v>12762</v>
      </c>
      <c r="M8" s="20">
        <f t="shared" si="2"/>
        <v>11170</v>
      </c>
      <c r="N8" s="20">
        <f t="shared" si="2"/>
        <v>9962</v>
      </c>
      <c r="O8" s="20">
        <f t="shared" si="2"/>
        <v>4512</v>
      </c>
      <c r="P8" s="20">
        <f>SUM(D8:O8)</f>
        <v>196701</v>
      </c>
      <c r="Q8" s="4"/>
    </row>
    <row r="9" spans="1:17" ht="15.5" thickBot="1">
      <c r="A9" s="4"/>
      <c r="B9" s="28"/>
      <c r="C9" s="29" t="s">
        <v>32</v>
      </c>
      <c r="D9" s="22">
        <f t="shared" ref="D9:P9" si="3">D8-D5</f>
        <v>320</v>
      </c>
      <c r="E9" s="22">
        <f t="shared" si="3"/>
        <v>-3039</v>
      </c>
      <c r="F9" s="22">
        <f t="shared" si="3"/>
        <v>-5500</v>
      </c>
      <c r="G9" s="22">
        <f t="shared" si="3"/>
        <v>-7818</v>
      </c>
      <c r="H9" s="22">
        <f t="shared" si="3"/>
        <v>-9200.0000000000036</v>
      </c>
      <c r="I9" s="22">
        <f t="shared" si="3"/>
        <v>-6100</v>
      </c>
      <c r="J9" s="22">
        <f t="shared" si="3"/>
        <v>-15060</v>
      </c>
      <c r="K9" s="22">
        <f t="shared" si="3"/>
        <v>-19308</v>
      </c>
      <c r="L9" s="22">
        <f t="shared" si="3"/>
        <v>-18738</v>
      </c>
      <c r="M9" s="22">
        <f t="shared" si="3"/>
        <v>-23830</v>
      </c>
      <c r="N9" s="22">
        <f t="shared" si="3"/>
        <v>-21538</v>
      </c>
      <c r="O9" s="22">
        <f t="shared" si="3"/>
        <v>-23488</v>
      </c>
      <c r="P9" s="22">
        <f t="shared" si="3"/>
        <v>-153299</v>
      </c>
      <c r="Q9" s="4"/>
    </row>
    <row r="10" spans="1:17">
      <c r="A10" s="4"/>
      <c r="B10" s="4"/>
      <c r="C10" s="4"/>
      <c r="D10" s="4"/>
      <c r="E10" s="4"/>
      <c r="F10" s="4"/>
      <c r="G10" s="4"/>
      <c r="H10" s="4"/>
      <c r="I10" s="4"/>
      <c r="J10" s="4"/>
      <c r="K10" s="4"/>
      <c r="L10" s="4"/>
      <c r="M10" s="4"/>
      <c r="N10" s="4"/>
      <c r="O10" s="4"/>
      <c r="P10" s="4"/>
      <c r="Q10" s="4"/>
    </row>
    <row r="11" spans="1:17">
      <c r="A11" s="4"/>
      <c r="B11" s="23" t="s">
        <v>33</v>
      </c>
      <c r="C11" s="4"/>
      <c r="D11" s="4"/>
      <c r="E11" s="4"/>
      <c r="F11" s="4"/>
      <c r="G11" s="4"/>
      <c r="H11" s="4"/>
      <c r="I11" s="4"/>
      <c r="J11" s="4"/>
      <c r="K11" s="4"/>
      <c r="L11" s="4"/>
      <c r="M11" s="4"/>
      <c r="N11" s="4"/>
      <c r="O11" s="4"/>
      <c r="P11" s="4"/>
      <c r="Q11" s="4"/>
    </row>
    <row r="12" spans="1:17" ht="15.5" thickBot="1">
      <c r="A12" s="4"/>
      <c r="B12" s="4"/>
      <c r="C12" s="4"/>
      <c r="D12" s="6" t="s">
        <v>1</v>
      </c>
      <c r="E12" s="6" t="s">
        <v>2</v>
      </c>
      <c r="F12" s="6" t="s">
        <v>3</v>
      </c>
      <c r="G12" s="6" t="s">
        <v>4</v>
      </c>
      <c r="H12" s="6" t="s">
        <v>5</v>
      </c>
      <c r="I12" s="6" t="s">
        <v>6</v>
      </c>
      <c r="J12" s="6" t="s">
        <v>7</v>
      </c>
      <c r="K12" s="6" t="s">
        <v>8</v>
      </c>
      <c r="L12" s="6" t="s">
        <v>9</v>
      </c>
      <c r="M12" s="6" t="s">
        <v>10</v>
      </c>
      <c r="N12" s="6" t="s">
        <v>11</v>
      </c>
      <c r="O12" s="6" t="s">
        <v>12</v>
      </c>
      <c r="P12" s="24" t="s">
        <v>27</v>
      </c>
      <c r="Q12" s="4"/>
    </row>
    <row r="13" spans="1:17">
      <c r="A13" s="4"/>
      <c r="B13" s="25"/>
      <c r="C13" s="25" t="s">
        <v>14</v>
      </c>
      <c r="D13" s="26">
        <v>21000</v>
      </c>
      <c r="E13" s="26">
        <f t="shared" ref="E13:O13" si="4">D13+E5</f>
        <v>49000</v>
      </c>
      <c r="F13" s="26">
        <f t="shared" si="4"/>
        <v>77000</v>
      </c>
      <c r="G13" s="26">
        <f t="shared" si="4"/>
        <v>105000</v>
      </c>
      <c r="H13" s="26">
        <f t="shared" si="4"/>
        <v>129500</v>
      </c>
      <c r="I13" s="26">
        <f t="shared" si="4"/>
        <v>157500</v>
      </c>
      <c r="J13" s="26">
        <f t="shared" si="4"/>
        <v>192500</v>
      </c>
      <c r="K13" s="26">
        <f t="shared" si="4"/>
        <v>224000</v>
      </c>
      <c r="L13" s="26">
        <f t="shared" si="4"/>
        <v>255500</v>
      </c>
      <c r="M13" s="26">
        <f t="shared" si="4"/>
        <v>290500</v>
      </c>
      <c r="N13" s="26">
        <f t="shared" si="4"/>
        <v>322000</v>
      </c>
      <c r="O13" s="26">
        <f t="shared" si="4"/>
        <v>350000</v>
      </c>
      <c r="P13" s="26">
        <f>O13</f>
        <v>350000</v>
      </c>
      <c r="Q13" s="4"/>
    </row>
    <row r="14" spans="1:17">
      <c r="A14" s="4"/>
      <c r="B14" s="3" t="s">
        <v>28</v>
      </c>
      <c r="C14" s="27" t="s">
        <v>29</v>
      </c>
      <c r="D14" s="30">
        <f>D6</f>
        <v>21320</v>
      </c>
      <c r="E14" s="30">
        <f t="shared" ref="E14:O14" si="5">D14+E6</f>
        <v>45281</v>
      </c>
      <c r="F14" s="30">
        <f t="shared" si="5"/>
        <v>66781</v>
      </c>
      <c r="G14" s="30">
        <f t="shared" si="5"/>
        <v>85963</v>
      </c>
      <c r="H14" s="30">
        <f t="shared" si="5"/>
        <v>100863</v>
      </c>
      <c r="I14" s="30">
        <f t="shared" si="5"/>
        <v>121963</v>
      </c>
      <c r="J14" s="30">
        <f t="shared" si="5"/>
        <v>139313</v>
      </c>
      <c r="K14" s="30">
        <f t="shared" si="5"/>
        <v>146963</v>
      </c>
      <c r="L14" s="30">
        <f t="shared" si="5"/>
        <v>154613</v>
      </c>
      <c r="M14" s="30">
        <f t="shared" si="5"/>
        <v>160763</v>
      </c>
      <c r="N14" s="30">
        <f t="shared" si="5"/>
        <v>166913</v>
      </c>
      <c r="O14" s="30">
        <f t="shared" si="5"/>
        <v>167613</v>
      </c>
      <c r="P14" s="30">
        <f>O14</f>
        <v>167613</v>
      </c>
      <c r="Q14" s="4"/>
    </row>
    <row r="15" spans="1:17">
      <c r="A15" s="4"/>
      <c r="B15" s="5"/>
      <c r="C15" s="27" t="s">
        <v>16</v>
      </c>
      <c r="D15" s="30">
        <f t="shared" ref="D15:P15" si="6">D14-D13</f>
        <v>320</v>
      </c>
      <c r="E15" s="30">
        <f t="shared" si="6"/>
        <v>-3719</v>
      </c>
      <c r="F15" s="30">
        <f t="shared" si="6"/>
        <v>-10219</v>
      </c>
      <c r="G15" s="30">
        <f t="shared" si="6"/>
        <v>-19037</v>
      </c>
      <c r="H15" s="30">
        <f t="shared" si="6"/>
        <v>-28637</v>
      </c>
      <c r="I15" s="30">
        <f t="shared" si="6"/>
        <v>-35537</v>
      </c>
      <c r="J15" s="30">
        <f t="shared" si="6"/>
        <v>-53187</v>
      </c>
      <c r="K15" s="30">
        <f t="shared" si="6"/>
        <v>-77037</v>
      </c>
      <c r="L15" s="30">
        <f t="shared" si="6"/>
        <v>-100887</v>
      </c>
      <c r="M15" s="30">
        <f t="shared" si="6"/>
        <v>-129737</v>
      </c>
      <c r="N15" s="30">
        <f t="shared" si="6"/>
        <v>-155087</v>
      </c>
      <c r="O15" s="30">
        <f t="shared" si="6"/>
        <v>-182387</v>
      </c>
      <c r="P15" s="30">
        <f t="shared" si="6"/>
        <v>-182387</v>
      </c>
      <c r="Q15" s="4"/>
    </row>
    <row r="16" spans="1:17">
      <c r="A16" s="4"/>
      <c r="B16" s="3" t="s">
        <v>30</v>
      </c>
      <c r="C16" s="27" t="s">
        <v>31</v>
      </c>
      <c r="D16" s="30">
        <f>D8</f>
        <v>21320</v>
      </c>
      <c r="E16" s="30">
        <f t="shared" ref="E16:O16" si="7">D16+E8</f>
        <v>46281</v>
      </c>
      <c r="F16" s="30">
        <f t="shared" si="7"/>
        <v>68781</v>
      </c>
      <c r="G16" s="30">
        <f t="shared" si="7"/>
        <v>88963</v>
      </c>
      <c r="H16" s="30">
        <f t="shared" si="7"/>
        <v>104263</v>
      </c>
      <c r="I16" s="30">
        <f t="shared" si="7"/>
        <v>126163</v>
      </c>
      <c r="J16" s="30">
        <f t="shared" si="7"/>
        <v>146103</v>
      </c>
      <c r="K16" s="30">
        <f t="shared" si="7"/>
        <v>158295</v>
      </c>
      <c r="L16" s="30">
        <f t="shared" si="7"/>
        <v>171057</v>
      </c>
      <c r="M16" s="30">
        <f t="shared" si="7"/>
        <v>182227</v>
      </c>
      <c r="N16" s="30">
        <f t="shared" si="7"/>
        <v>192189</v>
      </c>
      <c r="O16" s="30">
        <f t="shared" si="7"/>
        <v>196701</v>
      </c>
      <c r="P16" s="30">
        <f>O16</f>
        <v>196701</v>
      </c>
      <c r="Q16" s="4"/>
    </row>
    <row r="17" spans="1:17" ht="15.5" thickBot="1">
      <c r="A17" s="4"/>
      <c r="B17" s="28"/>
      <c r="C17" s="29" t="s">
        <v>32</v>
      </c>
      <c r="D17" s="31">
        <f t="shared" ref="D17:P17" si="8">D16-D13</f>
        <v>320</v>
      </c>
      <c r="E17" s="31">
        <f t="shared" si="8"/>
        <v>-2719</v>
      </c>
      <c r="F17" s="31">
        <f t="shared" si="8"/>
        <v>-8219</v>
      </c>
      <c r="G17" s="31">
        <f t="shared" si="8"/>
        <v>-16037</v>
      </c>
      <c r="H17" s="31">
        <f t="shared" si="8"/>
        <v>-25237</v>
      </c>
      <c r="I17" s="31">
        <f t="shared" si="8"/>
        <v>-31337</v>
      </c>
      <c r="J17" s="31">
        <f t="shared" si="8"/>
        <v>-46397</v>
      </c>
      <c r="K17" s="31">
        <f t="shared" si="8"/>
        <v>-65705</v>
      </c>
      <c r="L17" s="31">
        <f t="shared" si="8"/>
        <v>-84443</v>
      </c>
      <c r="M17" s="31">
        <f t="shared" si="8"/>
        <v>-108273</v>
      </c>
      <c r="N17" s="31">
        <f t="shared" si="8"/>
        <v>-129811</v>
      </c>
      <c r="O17" s="31">
        <f t="shared" si="8"/>
        <v>-153299</v>
      </c>
      <c r="P17" s="31">
        <f t="shared" si="8"/>
        <v>-153299</v>
      </c>
      <c r="Q17" s="4"/>
    </row>
    <row r="18" spans="1:17">
      <c r="A18" s="4"/>
      <c r="B18" s="4"/>
      <c r="C18" s="4"/>
      <c r="D18" s="4"/>
      <c r="E18" s="4"/>
      <c r="F18" s="4"/>
      <c r="G18" s="4"/>
      <c r="H18" s="4"/>
      <c r="I18" s="4"/>
      <c r="J18" s="4"/>
      <c r="K18" s="4"/>
      <c r="L18" s="4"/>
      <c r="M18" s="4"/>
      <c r="N18" s="4"/>
      <c r="O18" s="4"/>
      <c r="P18" s="4"/>
      <c r="Q18" s="4"/>
    </row>
    <row r="19" spans="1:17">
      <c r="A19" s="4"/>
      <c r="B19" s="23" t="s">
        <v>34</v>
      </c>
      <c r="C19" s="4"/>
      <c r="D19" s="4"/>
      <c r="E19" s="4"/>
      <c r="F19" s="4"/>
      <c r="G19" s="4"/>
      <c r="H19" s="4"/>
      <c r="I19" s="4"/>
      <c r="J19" s="4"/>
      <c r="K19" s="4"/>
      <c r="L19" s="4"/>
      <c r="M19" s="4"/>
      <c r="N19" s="4"/>
      <c r="O19" s="4"/>
      <c r="P19" s="4"/>
      <c r="Q19" s="4"/>
    </row>
    <row r="20" spans="1:17" ht="15.5" thickBot="1">
      <c r="A20" s="4"/>
      <c r="B20" s="4"/>
      <c r="C20" s="4"/>
      <c r="D20" s="6" t="s">
        <v>1</v>
      </c>
      <c r="E20" s="6" t="s">
        <v>2</v>
      </c>
      <c r="F20" s="6" t="s">
        <v>3</v>
      </c>
      <c r="G20" s="6" t="s">
        <v>4</v>
      </c>
      <c r="H20" s="6" t="s">
        <v>5</v>
      </c>
      <c r="I20" s="6" t="s">
        <v>6</v>
      </c>
      <c r="J20" s="6" t="s">
        <v>7</v>
      </c>
      <c r="K20" s="6" t="s">
        <v>8</v>
      </c>
      <c r="L20" s="6" t="s">
        <v>9</v>
      </c>
      <c r="M20" s="6" t="s">
        <v>10</v>
      </c>
      <c r="N20" s="6" t="s">
        <v>11</v>
      </c>
      <c r="O20" s="6" t="s">
        <v>12</v>
      </c>
      <c r="P20" s="24" t="s">
        <v>27</v>
      </c>
      <c r="Q20" s="4"/>
    </row>
    <row r="21" spans="1:17">
      <c r="A21" s="4"/>
      <c r="B21" s="74" t="s">
        <v>35</v>
      </c>
      <c r="C21" s="74" t="s">
        <v>36</v>
      </c>
      <c r="D21" s="75">
        <v>10170</v>
      </c>
      <c r="E21" s="75">
        <v>14160</v>
      </c>
      <c r="F21" s="75">
        <v>13560</v>
      </c>
      <c r="G21" s="75">
        <v>11410</v>
      </c>
      <c r="H21" s="75">
        <v>10620</v>
      </c>
      <c r="I21" s="75">
        <v>12510</v>
      </c>
      <c r="J21" s="75">
        <v>16400</v>
      </c>
      <c r="K21" s="75">
        <v>10630</v>
      </c>
      <c r="L21" s="75">
        <v>17050</v>
      </c>
      <c r="M21" s="75">
        <v>19150</v>
      </c>
      <c r="N21" s="75">
        <v>20310</v>
      </c>
      <c r="O21" s="75">
        <v>13530</v>
      </c>
      <c r="P21" s="75">
        <f>SUM(D21:O21)</f>
        <v>169500</v>
      </c>
      <c r="Q21" s="4"/>
    </row>
    <row r="22" spans="1:17">
      <c r="A22" s="4"/>
      <c r="B22" s="4"/>
      <c r="C22" s="5" t="s">
        <v>37</v>
      </c>
      <c r="D22" s="73">
        <f>D21</f>
        <v>10170</v>
      </c>
      <c r="E22" s="73">
        <f>D22+E21</f>
        <v>24330</v>
      </c>
      <c r="F22" s="73">
        <f t="shared" ref="F22:O22" si="9">E22+F21</f>
        <v>37890</v>
      </c>
      <c r="G22" s="73">
        <f t="shared" si="9"/>
        <v>49300</v>
      </c>
      <c r="H22" s="73">
        <f t="shared" si="9"/>
        <v>59920</v>
      </c>
      <c r="I22" s="73">
        <f t="shared" si="9"/>
        <v>72430</v>
      </c>
      <c r="J22" s="73">
        <f t="shared" si="9"/>
        <v>88830</v>
      </c>
      <c r="K22" s="73">
        <f t="shared" si="9"/>
        <v>99460</v>
      </c>
      <c r="L22" s="73">
        <f t="shared" si="9"/>
        <v>116510</v>
      </c>
      <c r="M22" s="73">
        <f t="shared" si="9"/>
        <v>135660</v>
      </c>
      <c r="N22" s="73">
        <f t="shared" si="9"/>
        <v>155970</v>
      </c>
      <c r="O22" s="73">
        <f t="shared" si="9"/>
        <v>169500</v>
      </c>
      <c r="P22" s="73">
        <f>O22</f>
        <v>169500</v>
      </c>
      <c r="Q22" s="4"/>
    </row>
    <row r="23" spans="1:17">
      <c r="A23" s="4"/>
      <c r="B23" s="3" t="s">
        <v>38</v>
      </c>
      <c r="C23" s="27" t="s">
        <v>39</v>
      </c>
      <c r="D23" s="30">
        <f>D6</f>
        <v>21320</v>
      </c>
      <c r="E23" s="30">
        <f t="shared" ref="E23:P23" si="10">E6</f>
        <v>23961</v>
      </c>
      <c r="F23" s="30">
        <f t="shared" si="10"/>
        <v>21500</v>
      </c>
      <c r="G23" s="30">
        <f t="shared" si="10"/>
        <v>19182</v>
      </c>
      <c r="H23" s="30">
        <f t="shared" si="10"/>
        <v>14900</v>
      </c>
      <c r="I23" s="30">
        <f t="shared" si="10"/>
        <v>21100</v>
      </c>
      <c r="J23" s="30">
        <f t="shared" si="10"/>
        <v>17350</v>
      </c>
      <c r="K23" s="30">
        <f t="shared" si="10"/>
        <v>7650</v>
      </c>
      <c r="L23" s="30">
        <f t="shared" si="10"/>
        <v>7650</v>
      </c>
      <c r="M23" s="30">
        <f t="shared" si="10"/>
        <v>6150</v>
      </c>
      <c r="N23" s="30">
        <f t="shared" si="10"/>
        <v>6150</v>
      </c>
      <c r="O23" s="30">
        <f t="shared" si="10"/>
        <v>700</v>
      </c>
      <c r="P23" s="30">
        <f t="shared" si="10"/>
        <v>167613</v>
      </c>
      <c r="Q23" s="4"/>
    </row>
    <row r="24" spans="1:17">
      <c r="A24" s="4"/>
      <c r="B24" s="5"/>
      <c r="C24" s="27" t="s">
        <v>40</v>
      </c>
      <c r="D24" s="30">
        <f>D23-D21</f>
        <v>11150</v>
      </c>
      <c r="E24" s="30">
        <f t="shared" ref="E24:P24" si="11">E23-E21</f>
        <v>9801</v>
      </c>
      <c r="F24" s="30">
        <f t="shared" si="11"/>
        <v>7940</v>
      </c>
      <c r="G24" s="30">
        <f t="shared" si="11"/>
        <v>7772</v>
      </c>
      <c r="H24" s="30">
        <f t="shared" si="11"/>
        <v>4280</v>
      </c>
      <c r="I24" s="30">
        <f t="shared" si="11"/>
        <v>8590</v>
      </c>
      <c r="J24" s="30">
        <f t="shared" si="11"/>
        <v>950</v>
      </c>
      <c r="K24" s="30">
        <f t="shared" si="11"/>
        <v>-2980</v>
      </c>
      <c r="L24" s="30">
        <f t="shared" si="11"/>
        <v>-9400</v>
      </c>
      <c r="M24" s="30">
        <f t="shared" si="11"/>
        <v>-13000</v>
      </c>
      <c r="N24" s="30">
        <f t="shared" si="11"/>
        <v>-14160</v>
      </c>
      <c r="O24" s="30">
        <f t="shared" si="11"/>
        <v>-12830</v>
      </c>
      <c r="P24" s="30">
        <f t="shared" si="11"/>
        <v>-1887</v>
      </c>
      <c r="Q24" s="4"/>
    </row>
    <row r="25" spans="1:17">
      <c r="A25" s="4"/>
      <c r="B25" s="3" t="s">
        <v>41</v>
      </c>
      <c r="C25" s="27" t="s">
        <v>42</v>
      </c>
      <c r="D25" s="30">
        <f>D14</f>
        <v>21320</v>
      </c>
      <c r="E25" s="30">
        <f t="shared" ref="E25:P25" si="12">E14</f>
        <v>45281</v>
      </c>
      <c r="F25" s="30">
        <f t="shared" si="12"/>
        <v>66781</v>
      </c>
      <c r="G25" s="30">
        <f t="shared" si="12"/>
        <v>85963</v>
      </c>
      <c r="H25" s="30">
        <f t="shared" si="12"/>
        <v>100863</v>
      </c>
      <c r="I25" s="30">
        <f t="shared" si="12"/>
        <v>121963</v>
      </c>
      <c r="J25" s="30">
        <f t="shared" si="12"/>
        <v>139313</v>
      </c>
      <c r="K25" s="30">
        <f t="shared" si="12"/>
        <v>146963</v>
      </c>
      <c r="L25" s="30">
        <f t="shared" si="12"/>
        <v>154613</v>
      </c>
      <c r="M25" s="30">
        <f t="shared" si="12"/>
        <v>160763</v>
      </c>
      <c r="N25" s="30">
        <f t="shared" si="12"/>
        <v>166913</v>
      </c>
      <c r="O25" s="30">
        <f t="shared" si="12"/>
        <v>167613</v>
      </c>
      <c r="P25" s="30">
        <f t="shared" si="12"/>
        <v>167613</v>
      </c>
      <c r="Q25" s="4"/>
    </row>
    <row r="26" spans="1:17" ht="15.5" thickBot="1">
      <c r="A26" s="4"/>
      <c r="B26" s="28"/>
      <c r="C26" s="29" t="s">
        <v>43</v>
      </c>
      <c r="D26" s="31">
        <f>D25-D22</f>
        <v>11150</v>
      </c>
      <c r="E26" s="31">
        <f t="shared" ref="E26:P26" si="13">E25-E22</f>
        <v>20951</v>
      </c>
      <c r="F26" s="31">
        <f t="shared" si="13"/>
        <v>28891</v>
      </c>
      <c r="G26" s="31">
        <f t="shared" si="13"/>
        <v>36663</v>
      </c>
      <c r="H26" s="31">
        <f t="shared" si="13"/>
        <v>40943</v>
      </c>
      <c r="I26" s="31">
        <f t="shared" si="13"/>
        <v>49533</v>
      </c>
      <c r="J26" s="31">
        <f t="shared" si="13"/>
        <v>50483</v>
      </c>
      <c r="K26" s="31">
        <f t="shared" si="13"/>
        <v>47503</v>
      </c>
      <c r="L26" s="31">
        <f t="shared" si="13"/>
        <v>38103</v>
      </c>
      <c r="M26" s="31">
        <f t="shared" si="13"/>
        <v>25103</v>
      </c>
      <c r="N26" s="31">
        <f t="shared" si="13"/>
        <v>10943</v>
      </c>
      <c r="O26" s="31">
        <f t="shared" si="13"/>
        <v>-1887</v>
      </c>
      <c r="P26" s="31">
        <f t="shared" si="13"/>
        <v>-1887</v>
      </c>
      <c r="Q26" s="4"/>
    </row>
    <row r="27" spans="1:17">
      <c r="A27" s="4"/>
      <c r="B27" s="4"/>
      <c r="C27" s="4"/>
      <c r="D27" s="4"/>
      <c r="E27" s="4"/>
      <c r="F27" s="4"/>
      <c r="G27" s="4"/>
      <c r="H27" s="4"/>
      <c r="I27" s="4"/>
      <c r="J27" s="4"/>
      <c r="K27" s="4"/>
      <c r="L27" s="4"/>
      <c r="M27" s="4"/>
      <c r="N27" s="4"/>
      <c r="O27" s="4"/>
      <c r="P27" s="4"/>
      <c r="Q27" s="4"/>
    </row>
    <row r="28" spans="1:17">
      <c r="A28" s="4"/>
      <c r="B28" s="4"/>
      <c r="C28" s="4"/>
      <c r="D28" s="4"/>
      <c r="E28" s="4"/>
      <c r="F28" s="4"/>
      <c r="G28" s="4"/>
      <c r="H28" s="4"/>
      <c r="I28" s="4"/>
      <c r="J28" s="4"/>
      <c r="K28" s="4"/>
      <c r="L28" s="4"/>
      <c r="M28" s="4"/>
      <c r="N28" s="4"/>
      <c r="O28" s="4"/>
      <c r="P28" s="4"/>
      <c r="Q28" s="4"/>
    </row>
    <row r="29" spans="1:17">
      <c r="A29" s="4"/>
      <c r="B29" s="4"/>
      <c r="C29" s="4"/>
      <c r="D29" s="4"/>
      <c r="E29" s="4"/>
      <c r="F29" s="4"/>
      <c r="G29" s="4"/>
      <c r="H29" s="4"/>
      <c r="I29" s="4"/>
      <c r="J29" s="4"/>
      <c r="K29" s="4"/>
      <c r="L29" s="4"/>
      <c r="M29" s="4"/>
      <c r="N29" s="4"/>
      <c r="O29" s="4"/>
      <c r="P29" s="4"/>
      <c r="Q29" s="4"/>
    </row>
    <row r="30" spans="1:17">
      <c r="A30" s="4"/>
      <c r="B30" s="23" t="s">
        <v>44</v>
      </c>
      <c r="C30" s="4"/>
      <c r="D30" s="4"/>
      <c r="E30" s="4"/>
      <c r="F30" s="4"/>
      <c r="G30" s="4"/>
      <c r="H30" s="4"/>
      <c r="I30" s="4"/>
      <c r="J30" s="4"/>
      <c r="K30" s="4"/>
      <c r="L30" s="4"/>
      <c r="M30" s="4"/>
      <c r="N30" s="4"/>
      <c r="O30" s="4"/>
      <c r="P30" s="4"/>
      <c r="Q30" s="4"/>
    </row>
    <row r="31" spans="1:17" ht="15.5" thickBot="1">
      <c r="A31" s="4"/>
      <c r="B31" s="4"/>
      <c r="C31" s="4"/>
      <c r="D31" s="6" t="s">
        <v>1</v>
      </c>
      <c r="E31" s="6" t="s">
        <v>2</v>
      </c>
      <c r="F31" s="6" t="s">
        <v>3</v>
      </c>
      <c r="G31" s="6" t="s">
        <v>4</v>
      </c>
      <c r="H31" s="6" t="s">
        <v>5</v>
      </c>
      <c r="I31" s="6" t="s">
        <v>6</v>
      </c>
      <c r="J31" s="6" t="s">
        <v>7</v>
      </c>
      <c r="K31" s="6" t="s">
        <v>8</v>
      </c>
      <c r="L31" s="6" t="s">
        <v>9</v>
      </c>
      <c r="M31" s="6" t="s">
        <v>10</v>
      </c>
      <c r="N31" s="6" t="s">
        <v>11</v>
      </c>
      <c r="O31" s="6" t="s">
        <v>12</v>
      </c>
      <c r="P31" s="24" t="s">
        <v>27</v>
      </c>
      <c r="Q31" s="4"/>
    </row>
    <row r="32" spans="1:17">
      <c r="A32" s="4"/>
      <c r="B32" s="4"/>
      <c r="C32" s="14" t="s">
        <v>27</v>
      </c>
      <c r="D32" s="15">
        <f>SUM(D33:D37)</f>
        <v>21320</v>
      </c>
      <c r="E32" s="15">
        <f t="shared" ref="E32:O32" si="14">SUM(E33:E37)</f>
        <v>27961</v>
      </c>
      <c r="F32" s="15">
        <f t="shared" si="14"/>
        <v>25500</v>
      </c>
      <c r="G32" s="15">
        <f t="shared" si="14"/>
        <v>23182</v>
      </c>
      <c r="H32" s="15">
        <f t="shared" si="14"/>
        <v>16900</v>
      </c>
      <c r="I32" s="15">
        <f t="shared" si="14"/>
        <v>25100</v>
      </c>
      <c r="J32" s="15">
        <f t="shared" si="14"/>
        <v>24550</v>
      </c>
      <c r="K32" s="15">
        <f t="shared" si="14"/>
        <v>23310</v>
      </c>
      <c r="L32" s="15">
        <f t="shared" si="14"/>
        <v>25710</v>
      </c>
      <c r="M32" s="15">
        <f t="shared" si="14"/>
        <v>23850</v>
      </c>
      <c r="N32" s="15">
        <f t="shared" si="14"/>
        <v>18810</v>
      </c>
      <c r="O32" s="15">
        <f t="shared" si="14"/>
        <v>13360</v>
      </c>
      <c r="P32" s="15">
        <f>SUM(D32:O32)</f>
        <v>269553</v>
      </c>
      <c r="Q32" s="4"/>
    </row>
    <row r="33" spans="1:17">
      <c r="A33" s="4"/>
      <c r="B33" s="33"/>
      <c r="C33" s="16" t="s">
        <v>45</v>
      </c>
      <c r="D33" s="17">
        <f>SUMIF('【入力用②】案件ごと売上（D案件以上）'!$G$5:$G$1048576,【表示用】9期売上!$C33,'【入力用②】案件ごと売上（D案件以上）'!N$5:N$1048576)</f>
        <v>19320</v>
      </c>
      <c r="E33" s="17">
        <f>SUMIF('【入力用②】案件ごと売上（D案件以上）'!$G$5:$G$1048576,【表示用】9期売上!$C33,'【入力用②】案件ごと売上（D案件以上）'!O$5:O$1048576)</f>
        <v>21961</v>
      </c>
      <c r="F33" s="17">
        <f>SUMIF('【入力用②】案件ごと売上（D案件以上）'!$G$5:$G$1048576,【表示用】9期売上!$C33,'【入力用②】案件ごと売上（D案件以上）'!P$5:P$1048576)</f>
        <v>19500</v>
      </c>
      <c r="G33" s="17">
        <f>SUMIF('【入力用②】案件ごと売上（D案件以上）'!$G$5:$G$1048576,【表示用】9期売上!$C33,'【入力用②】案件ごと売上（D案件以上）'!Q$5:Q$1048576)</f>
        <v>16182</v>
      </c>
      <c r="H33" s="17">
        <f>SUMIF('【入力用②】案件ごと売上（D案件以上）'!$G$5:$G$1048576,【表示用】9期売上!$C33,'【入力用②】案件ごと売上（D案件以上）'!R$5:R$1048576)</f>
        <v>11700</v>
      </c>
      <c r="I33" s="17">
        <f>SUMIF('【入力用②】案件ごと売上（D案件以上）'!$G$5:$G$1048576,【表示用】9期売上!$C33,'【入力用②】案件ごと売上（D案件以上）'!S$5:S$1048576)</f>
        <v>16200</v>
      </c>
      <c r="J33" s="17">
        <f>SUMIF('【入力用②】案件ごと売上（D案件以上）'!$G$5:$G$1048576,【表示用】9期売上!$C33,'【入力用②】案件ごと売上（D案件以上）'!T$5:T$1048576)</f>
        <v>11150</v>
      </c>
      <c r="K33" s="17">
        <f>SUMIF('【入力用②】案件ごと売上（D案件以上）'!$G$5:$G$1048576,【表示用】9期売上!$C33,'【入力用②】案件ごと売上（D案件以上）'!U$5:U$1048576)</f>
        <v>5450</v>
      </c>
      <c r="L33" s="17">
        <f>SUMIF('【入力用②】案件ごと売上（D案件以上）'!$G$5:$G$1048576,【表示用】9期売上!$C33,'【入力用②】案件ごと売上（D案件以上）'!V$5:V$1048576)</f>
        <v>5450</v>
      </c>
      <c r="M33" s="17">
        <f>SUMIF('【入力用②】案件ごと売上（D案件以上）'!$G$5:$G$1048576,【表示用】9期売上!$C33,'【入力用②】案件ごと売上（D案件以上）'!W$5:W$1048576)</f>
        <v>5450</v>
      </c>
      <c r="N33" s="17">
        <f>SUMIF('【入力用②】案件ごと売上（D案件以上）'!$G$5:$G$1048576,【表示用】9期売上!$C33,'【入力用②】案件ごと売上（D案件以上）'!X$5:X$1048576)</f>
        <v>5450</v>
      </c>
      <c r="O33" s="17">
        <f>SUMIF('【入力用②】案件ごと売上（D案件以上）'!$G$5:$G$1048576,【表示用】9期売上!$C33,'【入力用②】案件ごと売上（D案件以上）'!Y$5:Y$1048576)</f>
        <v>0</v>
      </c>
      <c r="P33" s="17">
        <f t="shared" ref="P33:P37" si="15">SUM(D33:O33)</f>
        <v>137813</v>
      </c>
      <c r="Q33" s="4"/>
    </row>
    <row r="34" spans="1:17">
      <c r="A34" s="4"/>
      <c r="B34" s="33"/>
      <c r="C34" s="16" t="s">
        <v>46</v>
      </c>
      <c r="D34" s="17">
        <f>SUMIF('【入力用②】案件ごと売上（D案件以上）'!$G$5:$G$1048576,【表示用】9期売上!$C34,'【入力用②】案件ごと売上（D案件以上）'!N$5:N$1048576)</f>
        <v>2000</v>
      </c>
      <c r="E34" s="17">
        <f>SUMIF('【入力用②】案件ごと売上（D案件以上）'!$G$5:$G$1048576,【表示用】9期売上!$C34,'【入力用②】案件ごと売上（D案件以上）'!O$5:O$1048576)</f>
        <v>2000</v>
      </c>
      <c r="F34" s="17">
        <f>SUMIF('【入力用②】案件ごと売上（D案件以上）'!$G$5:$G$1048576,【表示用】9期売上!$C34,'【入力用②】案件ごと売上（D案件以上）'!P$5:P$1048576)</f>
        <v>2000</v>
      </c>
      <c r="G34" s="17">
        <f>SUMIF('【入力用②】案件ごと売上（D案件以上）'!$G$5:$G$1048576,【表示用】9期売上!$C34,'【入力用②】案件ごと売上（D案件以上）'!Q$5:Q$1048576)</f>
        <v>3000</v>
      </c>
      <c r="H34" s="17">
        <f>SUMIF('【入力用②】案件ごと売上（D案件以上）'!$G$5:$G$1048576,【表示用】9期売上!$C34,'【入力用②】案件ごと売上（D案件以上）'!R$5:R$1048576)</f>
        <v>3200</v>
      </c>
      <c r="I34" s="17">
        <f>SUMIF('【入力用②】案件ごと売上（D案件以上）'!$G$5:$G$1048576,【表示用】9期売上!$C34,'【入力用②】案件ごと売上（D案件以上）'!S$5:S$1048576)</f>
        <v>4900</v>
      </c>
      <c r="J34" s="17">
        <f>SUMIF('【入力用②】案件ごと売上（D案件以上）'!$G$5:$G$1048576,【表示用】9期売上!$C34,'【入力用②】案件ごと売上（D案件以上）'!T$5:T$1048576)</f>
        <v>6200</v>
      </c>
      <c r="K34" s="17">
        <f>SUMIF('【入力用②】案件ごと売上（D案件以上）'!$G$5:$G$1048576,【表示用】9期売上!$C34,'【入力用②】案件ごと売上（D案件以上）'!U$5:U$1048576)</f>
        <v>2200</v>
      </c>
      <c r="L34" s="17">
        <f>SUMIF('【入力用②】案件ごと売上（D案件以上）'!$G$5:$G$1048576,【表示用】9期売上!$C34,'【入力用②】案件ごと売上（D案件以上）'!V$5:V$1048576)</f>
        <v>2200</v>
      </c>
      <c r="M34" s="17">
        <f>SUMIF('【入力用②】案件ごと売上（D案件以上）'!$G$5:$G$1048576,【表示用】9期売上!$C34,'【入力用②】案件ごと売上（D案件以上）'!W$5:W$1048576)</f>
        <v>700</v>
      </c>
      <c r="N34" s="17">
        <f>SUMIF('【入力用②】案件ごと売上（D案件以上）'!$G$5:$G$1048576,【表示用】9期売上!$C34,'【入力用②】案件ごと売上（D案件以上）'!X$5:X$1048576)</f>
        <v>700</v>
      </c>
      <c r="O34" s="17">
        <f>SUMIF('【入力用②】案件ごと売上（D案件以上）'!$G$5:$G$1048576,【表示用】9期売上!$C34,'【入力用②】案件ごと売上（D案件以上）'!Y$5:Y$1048576)</f>
        <v>700</v>
      </c>
      <c r="P34" s="17">
        <f t="shared" si="15"/>
        <v>29800</v>
      </c>
      <c r="Q34" s="4"/>
    </row>
    <row r="35" spans="1:17">
      <c r="A35" s="4"/>
      <c r="B35" s="32"/>
      <c r="C35" s="18" t="s">
        <v>47</v>
      </c>
      <c r="D35" s="19">
        <f>SUMIF('【入力用②】案件ごと売上（D案件以上）'!$G$5:$G$1048576,【表示用】9期売上!$C35,'【入力用②】案件ごと売上（D案件以上）'!N$5:N$1048576)</f>
        <v>0</v>
      </c>
      <c r="E35" s="19">
        <f>SUMIF('【入力用②】案件ごと売上（D案件以上）'!$G$5:$G$1048576,【表示用】9期売上!$C35,'【入力用②】案件ごと売上（D案件以上）'!O$5:O$1048576)</f>
        <v>0</v>
      </c>
      <c r="F35" s="19">
        <f>SUMIF('【入力用②】案件ごと売上（D案件以上）'!$G$5:$G$1048576,【表示用】9期売上!$C35,'【入力用②】案件ごと売上（D案件以上）'!P$5:P$1048576)</f>
        <v>0</v>
      </c>
      <c r="G35" s="19">
        <f>SUMIF('【入力用②】案件ごと売上（D案件以上）'!$G$5:$G$1048576,【表示用】9期売上!$C35,'【入力用②】案件ごと売上（D案件以上）'!Q$5:Q$1048576)</f>
        <v>0</v>
      </c>
      <c r="H35" s="19">
        <f>SUMIF('【入力用②】案件ごと売上（D案件以上）'!$G$5:$G$1048576,【表示用】9期売上!$C35,'【入力用②】案件ごと売上（D案件以上）'!R$5:R$1048576)</f>
        <v>0</v>
      </c>
      <c r="I35" s="19">
        <f>SUMIF('【入力用②】案件ごと売上（D案件以上）'!$G$5:$G$1048576,【表示用】9期売上!$C35,'【入力用②】案件ごと売上（D案件以上）'!S$5:S$1048576)</f>
        <v>0</v>
      </c>
      <c r="J35" s="19">
        <f>SUMIF('【入力用②】案件ごと売上（D案件以上）'!$G$5:$G$1048576,【表示用】9期売上!$C35,'【入力用②】案件ごと売上（D案件以上）'!T$5:T$1048576)</f>
        <v>2000</v>
      </c>
      <c r="K35" s="19">
        <f>SUMIF('【入力用②】案件ごと売上（D案件以上）'!$G$5:$G$1048576,【表示用】9期売上!$C35,'【入力用②】案件ごと売上（D案件以上）'!U$5:U$1048576)</f>
        <v>2160</v>
      </c>
      <c r="L35" s="19">
        <f>SUMIF('【入力用②】案件ごと売上（D案件以上）'!$G$5:$G$1048576,【表示用】9期売上!$C35,'【入力用②】案件ごと売上（D案件以上）'!V$5:V$1048576)</f>
        <v>2160</v>
      </c>
      <c r="M35" s="19">
        <f>SUMIF('【入力用②】案件ごと売上（D案件以上）'!$G$5:$G$1048576,【表示用】9期売上!$C35,'【入力用②】案件ごと売上（D案件以上）'!W$5:W$1048576)</f>
        <v>2200</v>
      </c>
      <c r="N35" s="19">
        <f>SUMIF('【入力用②】案件ごと売上（D案件以上）'!$G$5:$G$1048576,【表示用】9期売上!$C35,'【入力用②】案件ごと売上（D案件以上）'!X$5:X$1048576)</f>
        <v>2160</v>
      </c>
      <c r="O35" s="19">
        <f>SUMIF('【入力用②】案件ごと売上（D案件以上）'!$G$5:$G$1048576,【表示用】9期売上!$C35,'【入力用②】案件ごと売上（D案件以上）'!Y$5:Y$1048576)</f>
        <v>2160</v>
      </c>
      <c r="P35" s="20">
        <f t="shared" si="15"/>
        <v>12840</v>
      </c>
      <c r="Q35" s="4"/>
    </row>
    <row r="36" spans="1:17">
      <c r="A36" s="4"/>
      <c r="B36" s="32"/>
      <c r="C36" s="18" t="s">
        <v>48</v>
      </c>
      <c r="D36" s="19">
        <f>SUMIF('【入力用②】案件ごと売上（D案件以上）'!$G$5:$G$1048576,【表示用】9期売上!$C36,'【入力用②】案件ごと売上（D案件以上）'!N$5:N$1048576)</f>
        <v>0</v>
      </c>
      <c r="E36" s="19">
        <f>SUMIF('【入力用②】案件ごと売上（D案件以上）'!$G$5:$G$1048576,【表示用】9期売上!$C36,'【入力用②】案件ごと売上（D案件以上）'!O$5:O$1048576)</f>
        <v>2000</v>
      </c>
      <c r="F36" s="19">
        <f>SUMIF('【入力用②】案件ごと売上（D案件以上）'!$G$5:$G$1048576,【表示用】9期売上!$C36,'【入力用②】案件ごと売上（D案件以上）'!P$5:P$1048576)</f>
        <v>2000</v>
      </c>
      <c r="G36" s="19">
        <f>SUMIF('【入力用②】案件ごと売上（D案件以上）'!$G$5:$G$1048576,【表示用】9期売上!$C36,'【入力用②】案件ごと売上（D案件以上）'!Q$5:Q$1048576)</f>
        <v>2000</v>
      </c>
      <c r="H36" s="19">
        <f>SUMIF('【入力用②】案件ごと売上（D案件以上）'!$G$5:$G$1048576,【表示用】9期売上!$C36,'【入力用②】案件ごと売上（D案件以上）'!R$5:R$1048576)</f>
        <v>0</v>
      </c>
      <c r="I36" s="19">
        <f>SUMIF('【入力用②】案件ごと売上（D案件以上）'!$G$5:$G$1048576,【表示用】9期売上!$C36,'【入力用②】案件ごと売上（D案件以上）'!S$5:S$1048576)</f>
        <v>0</v>
      </c>
      <c r="J36" s="19">
        <f>SUMIF('【入力用②】案件ごと売上（D案件以上）'!$G$5:$G$1048576,【表示用】9期売上!$C36,'【入力用②】案件ごと売上（D案件以上）'!T$5:T$1048576)</f>
        <v>1500</v>
      </c>
      <c r="K36" s="19">
        <f>SUMIF('【入力用②】案件ごと売上（D案件以上）'!$G$5:$G$1048576,【表示用】9期売上!$C36,'【入力用②】案件ごと売上（D案件以上）'!U$5:U$1048576)</f>
        <v>3300</v>
      </c>
      <c r="L36" s="19">
        <f>SUMIF('【入力用②】案件ごと売上（D案件以上）'!$G$5:$G$1048576,【表示用】9期売上!$C36,'【入力用②】案件ごと売上（D案件以上）'!V$5:V$1048576)</f>
        <v>4200</v>
      </c>
      <c r="M36" s="19">
        <f>SUMIF('【入力用②】案件ごと売上（D案件以上）'!$G$5:$G$1048576,【表示用】9期売上!$C36,'【入力用②】案件ごと売上（D案件以上）'!W$5:W$1048576)</f>
        <v>3800</v>
      </c>
      <c r="N36" s="19">
        <f>SUMIF('【入力用②】案件ごと売上（D案件以上）'!$G$5:$G$1048576,【表示用】9期売上!$C36,'【入力用②】案件ごと売上（D案件以上）'!X$5:X$1048576)</f>
        <v>2000</v>
      </c>
      <c r="O36" s="19">
        <f>SUMIF('【入力用②】案件ごと売上（D案件以上）'!$G$5:$G$1048576,【表示用】9期売上!$C36,'【入力用②】案件ごと売上（D案件以上）'!Y$5:Y$1048576)</f>
        <v>2000</v>
      </c>
      <c r="P36" s="20">
        <f t="shared" si="15"/>
        <v>22800</v>
      </c>
      <c r="Q36" s="4"/>
    </row>
    <row r="37" spans="1:17" ht="15.5" thickBot="1">
      <c r="A37" s="4"/>
      <c r="B37" s="32"/>
      <c r="C37" s="21" t="s">
        <v>49</v>
      </c>
      <c r="D37" s="22">
        <f>SUMIF('【入力用②】案件ごと売上（D案件以上）'!$G$5:$G$1048576,【表示用】9期売上!$C37,'【入力用②】案件ごと売上（D案件以上）'!N$5:N$1048576)</f>
        <v>0</v>
      </c>
      <c r="E37" s="22">
        <f>SUMIF('【入力用②】案件ごと売上（D案件以上）'!$G$5:$G$1048576,【表示用】9期売上!$C37,'【入力用②】案件ごと売上（D案件以上）'!O$5:O$1048576)</f>
        <v>2000</v>
      </c>
      <c r="F37" s="22">
        <f>SUMIF('【入力用②】案件ごと売上（D案件以上）'!$G$5:$G$1048576,【表示用】9期売上!$C37,'【入力用②】案件ごと売上（D案件以上）'!P$5:P$1048576)</f>
        <v>2000</v>
      </c>
      <c r="G37" s="22">
        <f>SUMIF('【入力用②】案件ごと売上（D案件以上）'!$G$5:$G$1048576,【表示用】9期売上!$C37,'【入力用②】案件ごと売上（D案件以上）'!Q$5:Q$1048576)</f>
        <v>2000</v>
      </c>
      <c r="H37" s="22">
        <f>SUMIF('【入力用②】案件ごと売上（D案件以上）'!$G$5:$G$1048576,【表示用】9期売上!$C37,'【入力用②】案件ごと売上（D案件以上）'!R$5:R$1048576)</f>
        <v>2000</v>
      </c>
      <c r="I37" s="22">
        <f>SUMIF('【入力用②】案件ごと売上（D案件以上）'!$G$5:$G$1048576,【表示用】9期売上!$C37,'【入力用②】案件ごと売上（D案件以上）'!S$5:S$1048576)</f>
        <v>4000</v>
      </c>
      <c r="J37" s="22">
        <f>SUMIF('【入力用②】案件ごと売上（D案件以上）'!$G$5:$G$1048576,【表示用】9期売上!$C37,'【入力用②】案件ごと売上（D案件以上）'!T$5:T$1048576)</f>
        <v>3700</v>
      </c>
      <c r="K37" s="22">
        <f>SUMIF('【入力用②】案件ごと売上（D案件以上）'!$G$5:$G$1048576,【表示用】9期売上!$C37,'【入力用②】案件ごと売上（D案件以上）'!U$5:U$1048576)</f>
        <v>10200</v>
      </c>
      <c r="L37" s="22">
        <f>SUMIF('【入力用②】案件ごと売上（D案件以上）'!$G$5:$G$1048576,【表示用】9期売上!$C37,'【入力用②】案件ごと売上（D案件以上）'!V$5:V$1048576)</f>
        <v>11700</v>
      </c>
      <c r="M37" s="22">
        <f>SUMIF('【入力用②】案件ごと売上（D案件以上）'!$G$5:$G$1048576,【表示用】9期売上!$C37,'【入力用②】案件ごと売上（D案件以上）'!W$5:W$1048576)</f>
        <v>11700</v>
      </c>
      <c r="N37" s="22">
        <f>SUMIF('【入力用②】案件ごと売上（D案件以上）'!$G$5:$G$1048576,【表示用】9期売上!$C37,'【入力用②】案件ごと売上（D案件以上）'!X$5:X$1048576)</f>
        <v>8500</v>
      </c>
      <c r="O37" s="22">
        <f>SUMIF('【入力用②】案件ごと売上（D案件以上）'!$G$5:$G$1048576,【表示用】9期売上!$C37,'【入力用②】案件ごと売上（D案件以上）'!Y$5:Y$1048576)</f>
        <v>8500</v>
      </c>
      <c r="P37" s="22">
        <f t="shared" si="15"/>
        <v>66300</v>
      </c>
      <c r="Q37" s="4"/>
    </row>
    <row r="38" spans="1:17">
      <c r="A38" s="4"/>
      <c r="B38" s="4"/>
      <c r="C38" s="4"/>
      <c r="D38" s="4"/>
      <c r="E38" s="4"/>
      <c r="F38" s="4"/>
      <c r="G38" s="4"/>
      <c r="H38" s="4"/>
      <c r="I38" s="4"/>
      <c r="J38" s="4"/>
      <c r="K38" s="4"/>
      <c r="L38" s="4"/>
      <c r="M38" s="4"/>
      <c r="N38" s="4"/>
      <c r="O38" s="4"/>
      <c r="P38" s="4"/>
      <c r="Q38" s="4"/>
    </row>
    <row r="39" spans="1:17">
      <c r="A39" s="4"/>
      <c r="B39" s="23" t="s">
        <v>50</v>
      </c>
      <c r="C39" s="4"/>
      <c r="D39" s="4"/>
      <c r="E39" s="4"/>
      <c r="F39" s="4"/>
      <c r="G39" s="4"/>
      <c r="H39" s="4"/>
      <c r="I39" s="4"/>
      <c r="J39" s="4"/>
      <c r="K39" s="4"/>
      <c r="L39" s="4"/>
      <c r="M39" s="4"/>
      <c r="N39" s="4"/>
      <c r="O39" s="4"/>
      <c r="P39" s="4"/>
      <c r="Q39" s="4"/>
    </row>
    <row r="40" spans="1:17" ht="15.5" thickBot="1">
      <c r="A40" s="4"/>
      <c r="B40" s="4"/>
      <c r="C40" s="4"/>
      <c r="D40" s="6" t="s">
        <v>1</v>
      </c>
      <c r="E40" s="6" t="s">
        <v>2</v>
      </c>
      <c r="F40" s="6" t="s">
        <v>3</v>
      </c>
      <c r="G40" s="6" t="s">
        <v>4</v>
      </c>
      <c r="H40" s="6" t="s">
        <v>5</v>
      </c>
      <c r="I40" s="6" t="s">
        <v>6</v>
      </c>
      <c r="J40" s="6" t="s">
        <v>7</v>
      </c>
      <c r="K40" s="6" t="s">
        <v>8</v>
      </c>
      <c r="L40" s="6" t="s">
        <v>9</v>
      </c>
      <c r="M40" s="6" t="s">
        <v>10</v>
      </c>
      <c r="N40" s="6" t="s">
        <v>11</v>
      </c>
      <c r="O40" s="6" t="s">
        <v>12</v>
      </c>
      <c r="P40" s="24" t="s">
        <v>27</v>
      </c>
      <c r="Q40" s="4"/>
    </row>
    <row r="41" spans="1:17">
      <c r="A41" s="4"/>
      <c r="B41" s="4"/>
      <c r="C41" s="14" t="s">
        <v>27</v>
      </c>
      <c r="D41" s="15">
        <f>SUM(D42:D46)</f>
        <v>21320</v>
      </c>
      <c r="E41" s="15">
        <f t="shared" ref="E41:O41" si="16">SUM(E42:E46)</f>
        <v>24961</v>
      </c>
      <c r="F41" s="15">
        <f t="shared" si="16"/>
        <v>22500</v>
      </c>
      <c r="G41" s="15">
        <f t="shared" si="16"/>
        <v>20182</v>
      </c>
      <c r="H41" s="15">
        <f t="shared" si="16"/>
        <v>15300</v>
      </c>
      <c r="I41" s="15">
        <f t="shared" si="16"/>
        <v>21900</v>
      </c>
      <c r="J41" s="15">
        <f t="shared" si="16"/>
        <v>19940</v>
      </c>
      <c r="K41" s="15">
        <f t="shared" si="16"/>
        <v>12192</v>
      </c>
      <c r="L41" s="15">
        <f t="shared" si="16"/>
        <v>12762</v>
      </c>
      <c r="M41" s="15">
        <f t="shared" si="16"/>
        <v>11170</v>
      </c>
      <c r="N41" s="15">
        <f t="shared" si="16"/>
        <v>9962</v>
      </c>
      <c r="O41" s="15">
        <f t="shared" si="16"/>
        <v>4512</v>
      </c>
      <c r="P41" s="15">
        <f>SUM(D41:O41)</f>
        <v>196701</v>
      </c>
      <c r="Q41" s="4"/>
    </row>
    <row r="42" spans="1:17">
      <c r="B42" s="33">
        <v>1</v>
      </c>
      <c r="C42" s="16" t="s">
        <v>45</v>
      </c>
      <c r="D42" s="17">
        <f>D33*$B42</f>
        <v>19320</v>
      </c>
      <c r="E42" s="17">
        <f>E33*$B42</f>
        <v>21961</v>
      </c>
      <c r="F42" s="17">
        <f t="shared" ref="F42:O42" si="17">F33*$B42</f>
        <v>19500</v>
      </c>
      <c r="G42" s="17">
        <f t="shared" si="17"/>
        <v>16182</v>
      </c>
      <c r="H42" s="17">
        <f t="shared" si="17"/>
        <v>11700</v>
      </c>
      <c r="I42" s="17">
        <f t="shared" si="17"/>
        <v>16200</v>
      </c>
      <c r="J42" s="17">
        <f t="shared" si="17"/>
        <v>11150</v>
      </c>
      <c r="K42" s="17">
        <f t="shared" si="17"/>
        <v>5450</v>
      </c>
      <c r="L42" s="17">
        <f t="shared" si="17"/>
        <v>5450</v>
      </c>
      <c r="M42" s="17">
        <f t="shared" si="17"/>
        <v>5450</v>
      </c>
      <c r="N42" s="17">
        <f t="shared" si="17"/>
        <v>5450</v>
      </c>
      <c r="O42" s="17">
        <f t="shared" si="17"/>
        <v>0</v>
      </c>
      <c r="P42" s="17">
        <f t="shared" ref="P42:P46" si="18">SUM(D42:O42)</f>
        <v>137813</v>
      </c>
    </row>
    <row r="43" spans="1:17">
      <c r="B43" s="33">
        <v>1</v>
      </c>
      <c r="C43" s="16" t="s">
        <v>46</v>
      </c>
      <c r="D43" s="17">
        <f>D34*$B43</f>
        <v>2000</v>
      </c>
      <c r="E43" s="17">
        <f t="shared" ref="E43:O43" si="19">E34*$B43</f>
        <v>2000</v>
      </c>
      <c r="F43" s="17">
        <f t="shared" si="19"/>
        <v>2000</v>
      </c>
      <c r="G43" s="17">
        <f t="shared" si="19"/>
        <v>3000</v>
      </c>
      <c r="H43" s="17">
        <f t="shared" si="19"/>
        <v>3200</v>
      </c>
      <c r="I43" s="17">
        <f t="shared" si="19"/>
        <v>4900</v>
      </c>
      <c r="J43" s="17">
        <f t="shared" si="19"/>
        <v>6200</v>
      </c>
      <c r="K43" s="17">
        <f t="shared" si="19"/>
        <v>2200</v>
      </c>
      <c r="L43" s="17">
        <f t="shared" si="19"/>
        <v>2200</v>
      </c>
      <c r="M43" s="17">
        <f t="shared" si="19"/>
        <v>700</v>
      </c>
      <c r="N43" s="17">
        <f t="shared" si="19"/>
        <v>700</v>
      </c>
      <c r="O43" s="17">
        <f t="shared" si="19"/>
        <v>700</v>
      </c>
      <c r="P43" s="17">
        <f t="shared" si="18"/>
        <v>29800</v>
      </c>
    </row>
    <row r="44" spans="1:17">
      <c r="B44" s="32">
        <v>0.7</v>
      </c>
      <c r="C44" s="18" t="s">
        <v>47</v>
      </c>
      <c r="D44" s="19">
        <f t="shared" ref="D44:O46" si="20">D35*$B44</f>
        <v>0</v>
      </c>
      <c r="E44" s="19">
        <f t="shared" si="20"/>
        <v>0</v>
      </c>
      <c r="F44" s="19">
        <f t="shared" si="20"/>
        <v>0</v>
      </c>
      <c r="G44" s="19">
        <f t="shared" si="20"/>
        <v>0</v>
      </c>
      <c r="H44" s="19">
        <f t="shared" si="20"/>
        <v>0</v>
      </c>
      <c r="I44" s="19">
        <f t="shared" si="20"/>
        <v>0</v>
      </c>
      <c r="J44" s="19">
        <f t="shared" si="20"/>
        <v>1400</v>
      </c>
      <c r="K44" s="19">
        <f t="shared" si="20"/>
        <v>1512</v>
      </c>
      <c r="L44" s="19">
        <f t="shared" si="20"/>
        <v>1512</v>
      </c>
      <c r="M44" s="19">
        <f t="shared" si="20"/>
        <v>1540</v>
      </c>
      <c r="N44" s="19">
        <f t="shared" si="20"/>
        <v>1512</v>
      </c>
      <c r="O44" s="19">
        <f t="shared" si="20"/>
        <v>1512</v>
      </c>
      <c r="P44" s="20">
        <f t="shared" si="18"/>
        <v>8988</v>
      </c>
    </row>
    <row r="45" spans="1:17">
      <c r="B45" s="32">
        <v>0.3</v>
      </c>
      <c r="C45" s="18" t="s">
        <v>48</v>
      </c>
      <c r="D45" s="19">
        <f t="shared" si="20"/>
        <v>0</v>
      </c>
      <c r="E45" s="19">
        <f t="shared" si="20"/>
        <v>600</v>
      </c>
      <c r="F45" s="19">
        <f t="shared" si="20"/>
        <v>600</v>
      </c>
      <c r="G45" s="19">
        <f t="shared" si="20"/>
        <v>600</v>
      </c>
      <c r="H45" s="19">
        <f t="shared" si="20"/>
        <v>0</v>
      </c>
      <c r="I45" s="19">
        <f t="shared" si="20"/>
        <v>0</v>
      </c>
      <c r="J45" s="19">
        <f t="shared" si="20"/>
        <v>450</v>
      </c>
      <c r="K45" s="19">
        <f t="shared" si="20"/>
        <v>990</v>
      </c>
      <c r="L45" s="19">
        <f t="shared" si="20"/>
        <v>1260</v>
      </c>
      <c r="M45" s="19">
        <f t="shared" si="20"/>
        <v>1140</v>
      </c>
      <c r="N45" s="19">
        <f t="shared" si="20"/>
        <v>600</v>
      </c>
      <c r="O45" s="19">
        <f t="shared" si="20"/>
        <v>600</v>
      </c>
      <c r="P45" s="20">
        <f t="shared" si="18"/>
        <v>6840</v>
      </c>
    </row>
    <row r="46" spans="1:17" ht="15.5" thickBot="1">
      <c r="B46" s="32">
        <v>0.2</v>
      </c>
      <c r="C46" s="21" t="s">
        <v>49</v>
      </c>
      <c r="D46" s="22">
        <f t="shared" si="20"/>
        <v>0</v>
      </c>
      <c r="E46" s="22">
        <f t="shared" si="20"/>
        <v>400</v>
      </c>
      <c r="F46" s="22">
        <f t="shared" si="20"/>
        <v>400</v>
      </c>
      <c r="G46" s="22">
        <f t="shared" si="20"/>
        <v>400</v>
      </c>
      <c r="H46" s="22">
        <f t="shared" si="20"/>
        <v>400</v>
      </c>
      <c r="I46" s="22">
        <f t="shared" si="20"/>
        <v>800</v>
      </c>
      <c r="J46" s="22">
        <f t="shared" si="20"/>
        <v>740</v>
      </c>
      <c r="K46" s="22">
        <f t="shared" si="20"/>
        <v>2040</v>
      </c>
      <c r="L46" s="22">
        <f t="shared" si="20"/>
        <v>2340</v>
      </c>
      <c r="M46" s="22">
        <f t="shared" si="20"/>
        <v>2340</v>
      </c>
      <c r="N46" s="22">
        <f t="shared" si="20"/>
        <v>1700</v>
      </c>
      <c r="O46" s="22">
        <f t="shared" si="20"/>
        <v>1700</v>
      </c>
      <c r="P46" s="22">
        <f t="shared" si="18"/>
        <v>13260</v>
      </c>
    </row>
  </sheetData>
  <phoneticPr fontId="3"/>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A9F68-F258-4AED-B4E0-5D4B8BA80D14}">
  <dimension ref="A1:N31"/>
  <sheetViews>
    <sheetView topLeftCell="A37" zoomScale="70" zoomScaleNormal="70" workbookViewId="0">
      <selection activeCell="E35" sqref="E35"/>
    </sheetView>
  </sheetViews>
  <sheetFormatPr defaultColWidth="8.58203125" defaultRowHeight="18"/>
  <cols>
    <col min="1" max="1" width="58.58203125" style="69" bestFit="1" customWidth="1"/>
    <col min="2" max="2" width="18.58203125" style="69" bestFit="1" customWidth="1"/>
    <col min="3" max="3" width="10" style="69" bestFit="1" customWidth="1"/>
    <col min="4" max="6" width="11.08203125" style="69" bestFit="1" customWidth="1"/>
    <col min="7" max="14" width="10" style="69" bestFit="1" customWidth="1"/>
    <col min="15" max="16384" width="8.58203125" style="69"/>
  </cols>
  <sheetData>
    <row r="1" spans="1:14">
      <c r="A1" s="71" t="s">
        <v>51</v>
      </c>
      <c r="B1" t="s">
        <v>52</v>
      </c>
    </row>
    <row r="3" spans="1:14">
      <c r="A3" s="71" t="s">
        <v>53</v>
      </c>
      <c r="B3" t="s">
        <v>54</v>
      </c>
      <c r="C3" t="s">
        <v>55</v>
      </c>
      <c r="D3" t="s">
        <v>56</v>
      </c>
      <c r="E3" t="s">
        <v>57</v>
      </c>
      <c r="F3" t="s">
        <v>58</v>
      </c>
      <c r="G3" t="s">
        <v>59</v>
      </c>
      <c r="H3" t="s">
        <v>60</v>
      </c>
      <c r="I3" t="s">
        <v>61</v>
      </c>
      <c r="J3" t="s">
        <v>62</v>
      </c>
      <c r="K3" t="s">
        <v>63</v>
      </c>
      <c r="L3" t="s">
        <v>64</v>
      </c>
      <c r="M3" t="s">
        <v>65</v>
      </c>
      <c r="N3" t="s">
        <v>66</v>
      </c>
    </row>
    <row r="4" spans="1:14">
      <c r="A4" s="72" t="s">
        <v>67</v>
      </c>
      <c r="B4" s="77">
        <v>550</v>
      </c>
      <c r="C4" s="77">
        <v>550</v>
      </c>
      <c r="D4" s="77"/>
      <c r="E4" s="77"/>
      <c r="F4" s="77"/>
      <c r="G4" s="77"/>
      <c r="H4" s="77"/>
      <c r="I4" s="77"/>
      <c r="J4" s="77"/>
      <c r="K4" s="77"/>
      <c r="L4" s="77"/>
      <c r="M4" s="77"/>
      <c r="N4" s="77"/>
    </row>
    <row r="5" spans="1:14">
      <c r="A5" s="72" t="s">
        <v>68</v>
      </c>
      <c r="B5" s="77">
        <v>300</v>
      </c>
      <c r="C5" s="77">
        <v>300</v>
      </c>
      <c r="D5" s="77"/>
      <c r="E5" s="77"/>
      <c r="F5" s="77"/>
      <c r="G5" s="77"/>
      <c r="H5" s="77"/>
      <c r="I5" s="77"/>
      <c r="J5" s="77"/>
      <c r="K5" s="77"/>
      <c r="L5" s="77"/>
      <c r="M5" s="77"/>
      <c r="N5" s="77"/>
    </row>
    <row r="6" spans="1:14">
      <c r="A6" s="72" t="s">
        <v>69</v>
      </c>
      <c r="B6" s="77">
        <v>600</v>
      </c>
      <c r="C6" s="77">
        <v>600</v>
      </c>
      <c r="D6" s="77"/>
      <c r="E6" s="77"/>
      <c r="F6" s="77"/>
      <c r="G6" s="77"/>
      <c r="H6" s="77"/>
      <c r="I6" s="77"/>
      <c r="J6" s="77"/>
      <c r="K6" s="77"/>
      <c r="L6" s="77"/>
      <c r="M6" s="77"/>
      <c r="N6" s="77"/>
    </row>
    <row r="7" spans="1:14">
      <c r="A7" s="72" t="s">
        <v>70</v>
      </c>
      <c r="B7" s="77">
        <v>14500</v>
      </c>
      <c r="C7" s="77">
        <v>3700</v>
      </c>
      <c r="D7" s="77">
        <v>3600</v>
      </c>
      <c r="E7" s="77">
        <v>3600</v>
      </c>
      <c r="F7" s="77">
        <v>3600</v>
      </c>
      <c r="G7" s="77"/>
      <c r="H7" s="77"/>
      <c r="I7" s="77"/>
      <c r="J7" s="77"/>
      <c r="K7" s="77"/>
      <c r="L7" s="77"/>
      <c r="M7" s="77"/>
      <c r="N7" s="77"/>
    </row>
    <row r="8" spans="1:14">
      <c r="A8" s="72" t="s">
        <v>71</v>
      </c>
      <c r="B8" s="77">
        <v>6750</v>
      </c>
      <c r="C8" s="77"/>
      <c r="D8" s="77">
        <v>2250</v>
      </c>
      <c r="E8" s="77">
        <v>2250</v>
      </c>
      <c r="F8" s="77">
        <v>2250</v>
      </c>
      <c r="G8" s="77"/>
      <c r="H8" s="77"/>
      <c r="I8" s="77"/>
      <c r="J8" s="77"/>
      <c r="K8" s="77"/>
      <c r="L8" s="77"/>
      <c r="M8" s="77"/>
      <c r="N8" s="77"/>
    </row>
    <row r="9" spans="1:14">
      <c r="A9" s="72" t="s">
        <v>72</v>
      </c>
      <c r="B9" s="77">
        <v>4000</v>
      </c>
      <c r="C9" s="77">
        <v>2000</v>
      </c>
      <c r="D9" s="77">
        <v>2000</v>
      </c>
      <c r="E9" s="77"/>
      <c r="F9" s="77"/>
      <c r="G9" s="77"/>
      <c r="H9" s="77"/>
      <c r="I9" s="77"/>
      <c r="J9" s="77"/>
      <c r="K9" s="77"/>
      <c r="L9" s="77"/>
      <c r="M9" s="77"/>
      <c r="N9" s="77"/>
    </row>
    <row r="10" spans="1:14">
      <c r="A10" s="72" t="s">
        <v>73</v>
      </c>
      <c r="B10" s="77">
        <v>500</v>
      </c>
      <c r="C10" s="77">
        <v>140</v>
      </c>
      <c r="D10" s="77">
        <v>360</v>
      </c>
      <c r="E10" s="77"/>
      <c r="F10" s="77"/>
      <c r="G10" s="77"/>
      <c r="H10" s="77"/>
      <c r="I10" s="77"/>
      <c r="J10" s="77"/>
      <c r="K10" s="77"/>
      <c r="L10" s="77"/>
      <c r="M10" s="77"/>
      <c r="N10" s="77"/>
    </row>
    <row r="11" spans="1:14">
      <c r="A11" s="72" t="s">
        <v>74</v>
      </c>
      <c r="B11" s="77">
        <v>2000</v>
      </c>
      <c r="C11" s="77"/>
      <c r="D11" s="77">
        <v>500</v>
      </c>
      <c r="E11" s="77">
        <v>500</v>
      </c>
      <c r="F11" s="77">
        <v>1000</v>
      </c>
      <c r="G11" s="77"/>
      <c r="H11" s="77"/>
      <c r="I11" s="77"/>
      <c r="J11" s="77"/>
      <c r="K11" s="77"/>
      <c r="L11" s="77"/>
      <c r="M11" s="77"/>
      <c r="N11" s="77"/>
    </row>
    <row r="12" spans="1:14">
      <c r="A12" s="72" t="s">
        <v>75</v>
      </c>
      <c r="B12" s="77">
        <v>7000</v>
      </c>
      <c r="C12" s="77">
        <v>2000</v>
      </c>
      <c r="D12" s="77">
        <v>1500</v>
      </c>
      <c r="E12" s="77">
        <v>1500</v>
      </c>
      <c r="F12" s="77">
        <v>2000</v>
      </c>
      <c r="G12" s="77"/>
      <c r="H12" s="77"/>
      <c r="I12" s="77"/>
      <c r="J12" s="77"/>
      <c r="K12" s="77"/>
      <c r="L12" s="77"/>
      <c r="M12" s="77"/>
      <c r="N12" s="77"/>
    </row>
    <row r="13" spans="1:14">
      <c r="A13" s="72" t="s">
        <v>76</v>
      </c>
      <c r="B13" s="77">
        <v>6700</v>
      </c>
      <c r="C13" s="77">
        <v>6700</v>
      </c>
      <c r="D13" s="77"/>
      <c r="E13" s="77"/>
      <c r="F13" s="77"/>
      <c r="G13" s="77"/>
      <c r="H13" s="77"/>
      <c r="I13" s="77"/>
      <c r="J13" s="77"/>
      <c r="K13" s="77"/>
      <c r="L13" s="77"/>
      <c r="M13" s="77"/>
      <c r="N13" s="77"/>
    </row>
    <row r="14" spans="1:14">
      <c r="A14" s="72" t="s">
        <v>77</v>
      </c>
      <c r="B14" s="77">
        <v>37900</v>
      </c>
      <c r="C14" s="77"/>
      <c r="D14" s="77">
        <v>8000</v>
      </c>
      <c r="E14" s="77">
        <v>7800</v>
      </c>
      <c r="F14" s="77">
        <v>5900</v>
      </c>
      <c r="G14" s="77">
        <v>6100</v>
      </c>
      <c r="H14" s="77">
        <v>5800</v>
      </c>
      <c r="I14" s="77">
        <v>4300</v>
      </c>
      <c r="J14" s="77"/>
      <c r="K14" s="77"/>
      <c r="L14" s="77"/>
      <c r="M14" s="77"/>
      <c r="N14" s="77"/>
    </row>
    <row r="15" spans="1:14">
      <c r="A15" s="72" t="s">
        <v>78</v>
      </c>
      <c r="B15" s="77">
        <v>250</v>
      </c>
      <c r="C15" s="77"/>
      <c r="D15" s="77"/>
      <c r="E15" s="77">
        <v>250</v>
      </c>
      <c r="F15" s="77"/>
      <c r="G15" s="77"/>
      <c r="H15" s="77"/>
      <c r="I15" s="77"/>
      <c r="J15" s="77"/>
      <c r="K15" s="77"/>
      <c r="L15" s="77"/>
      <c r="M15" s="77"/>
      <c r="N15" s="77"/>
    </row>
    <row r="16" spans="1:14">
      <c r="A16" s="72" t="s">
        <v>79</v>
      </c>
      <c r="B16" s="77">
        <v>100</v>
      </c>
      <c r="C16" s="77"/>
      <c r="D16" s="77">
        <v>100</v>
      </c>
      <c r="E16" s="77"/>
      <c r="F16" s="77"/>
      <c r="G16" s="77"/>
      <c r="H16" s="77"/>
      <c r="I16" s="77"/>
      <c r="J16" s="77"/>
      <c r="K16" s="77"/>
      <c r="L16" s="77"/>
      <c r="M16" s="77"/>
      <c r="N16" s="77"/>
    </row>
    <row r="17" spans="1:14">
      <c r="A17" s="72" t="s">
        <v>80</v>
      </c>
      <c r="B17" s="77">
        <v>750</v>
      </c>
      <c r="C17" s="77"/>
      <c r="D17" s="77">
        <v>750</v>
      </c>
      <c r="E17" s="77"/>
      <c r="F17" s="77"/>
      <c r="G17" s="77"/>
      <c r="H17" s="77"/>
      <c r="I17" s="77"/>
      <c r="J17" s="77"/>
      <c r="K17" s="77"/>
      <c r="L17" s="77"/>
      <c r="M17" s="77"/>
      <c r="N17" s="77"/>
    </row>
    <row r="18" spans="1:14">
      <c r="A18" s="72" t="s">
        <v>81</v>
      </c>
      <c r="B18" s="77">
        <v>2300</v>
      </c>
      <c r="C18" s="77">
        <v>480</v>
      </c>
      <c r="D18" s="77">
        <v>440</v>
      </c>
      <c r="E18" s="77"/>
      <c r="F18" s="77"/>
      <c r="G18" s="77"/>
      <c r="H18" s="77"/>
      <c r="I18" s="77"/>
      <c r="J18" s="77"/>
      <c r="K18" s="77"/>
      <c r="L18" s="77"/>
      <c r="M18" s="77"/>
      <c r="N18" s="77"/>
    </row>
    <row r="19" spans="1:14">
      <c r="A19" s="72" t="s">
        <v>82</v>
      </c>
      <c r="B19" s="77">
        <v>4470</v>
      </c>
      <c r="C19" s="77"/>
      <c r="D19" s="77">
        <v>1881</v>
      </c>
      <c r="E19" s="77"/>
      <c r="F19" s="77">
        <v>800</v>
      </c>
      <c r="G19" s="77"/>
      <c r="H19" s="77"/>
      <c r="I19" s="77"/>
      <c r="J19" s="77"/>
      <c r="K19" s="77"/>
      <c r="L19" s="77"/>
      <c r="M19" s="77"/>
      <c r="N19" s="77"/>
    </row>
    <row r="20" spans="1:14">
      <c r="A20" s="72" t="s">
        <v>83</v>
      </c>
      <c r="B20" s="77">
        <v>400</v>
      </c>
      <c r="C20" s="77">
        <v>400</v>
      </c>
      <c r="D20" s="77"/>
      <c r="E20" s="77"/>
      <c r="F20" s="77"/>
      <c r="G20" s="77"/>
      <c r="H20" s="77"/>
      <c r="I20" s="77"/>
      <c r="J20" s="77"/>
      <c r="K20" s="77"/>
      <c r="L20" s="77"/>
      <c r="M20" s="77"/>
      <c r="N20" s="77"/>
    </row>
    <row r="21" spans="1:14">
      <c r="A21" s="72" t="s">
        <v>84</v>
      </c>
      <c r="B21" s="77">
        <v>2000</v>
      </c>
      <c r="C21" s="77">
        <v>600</v>
      </c>
      <c r="D21" s="77">
        <v>600</v>
      </c>
      <c r="E21" s="77">
        <v>800</v>
      </c>
      <c r="F21" s="77"/>
      <c r="G21" s="77"/>
      <c r="H21" s="77"/>
      <c r="I21" s="77"/>
      <c r="J21" s="77"/>
      <c r="K21" s="77"/>
      <c r="L21" s="77"/>
      <c r="M21" s="77"/>
      <c r="N21" s="77"/>
    </row>
    <row r="22" spans="1:14">
      <c r="A22" s="72" t="s">
        <v>85</v>
      </c>
      <c r="B22" s="77">
        <v>12300</v>
      </c>
      <c r="C22" s="77">
        <v>2050</v>
      </c>
      <c r="D22" s="77">
        <v>2050</v>
      </c>
      <c r="E22" s="77">
        <v>2050</v>
      </c>
      <c r="F22" s="77">
        <v>2050</v>
      </c>
      <c r="G22" s="77">
        <v>2050</v>
      </c>
      <c r="H22" s="77">
        <v>2050</v>
      </c>
      <c r="I22" s="77"/>
      <c r="J22" s="77"/>
      <c r="K22" s="77"/>
      <c r="L22" s="77"/>
      <c r="M22" s="77"/>
      <c r="N22" s="77"/>
    </row>
    <row r="23" spans="1:14">
      <c r="A23" s="72" t="s">
        <v>86</v>
      </c>
      <c r="B23" s="77">
        <v>1300</v>
      </c>
      <c r="C23" s="77">
        <v>1300</v>
      </c>
      <c r="D23" s="77"/>
      <c r="E23" s="77"/>
      <c r="F23" s="77"/>
      <c r="G23" s="77"/>
      <c r="H23" s="77"/>
      <c r="I23" s="77"/>
      <c r="J23" s="77"/>
      <c r="K23" s="77"/>
      <c r="L23" s="77"/>
      <c r="M23" s="77"/>
      <c r="N23" s="77"/>
    </row>
    <row r="24" spans="1:14">
      <c r="A24" s="72" t="s">
        <v>87</v>
      </c>
      <c r="B24" s="77">
        <v>500</v>
      </c>
      <c r="C24" s="77">
        <v>500</v>
      </c>
      <c r="D24" s="77"/>
      <c r="E24" s="77"/>
      <c r="F24" s="77"/>
      <c r="G24" s="77"/>
      <c r="H24" s="77"/>
      <c r="I24" s="77"/>
      <c r="J24" s="77"/>
      <c r="K24" s="77"/>
      <c r="L24" s="77"/>
      <c r="M24" s="77"/>
      <c r="N24" s="77"/>
    </row>
    <row r="25" spans="1:14">
      <c r="A25" s="72" t="s">
        <v>88</v>
      </c>
      <c r="B25" s="77">
        <v>700</v>
      </c>
      <c r="C25" s="77"/>
      <c r="D25" s="77">
        <v>280</v>
      </c>
      <c r="E25" s="77"/>
      <c r="F25" s="77"/>
      <c r="G25" s="77"/>
      <c r="H25" s="77"/>
      <c r="I25" s="77"/>
      <c r="J25" s="77"/>
      <c r="K25" s="77"/>
      <c r="L25" s="77"/>
      <c r="M25" s="77"/>
      <c r="N25" s="77"/>
    </row>
    <row r="26" spans="1:14">
      <c r="A26" s="72" t="s">
        <v>89</v>
      </c>
      <c r="B26" s="77">
        <v>1246</v>
      </c>
      <c r="C26" s="77"/>
      <c r="D26" s="77"/>
      <c r="E26" s="77">
        <v>117</v>
      </c>
      <c r="F26" s="77">
        <v>132</v>
      </c>
      <c r="G26" s="77"/>
      <c r="H26" s="77"/>
      <c r="I26" s="77"/>
      <c r="J26" s="77"/>
      <c r="K26" s="77"/>
      <c r="L26" s="77"/>
      <c r="M26" s="77"/>
      <c r="N26" s="77"/>
    </row>
    <row r="27" spans="1:14">
      <c r="A27" s="72" t="s">
        <v>90</v>
      </c>
      <c r="B27" s="77">
        <v>2250</v>
      </c>
      <c r="C27" s="77"/>
      <c r="D27" s="77"/>
      <c r="E27" s="77"/>
      <c r="F27" s="77"/>
      <c r="G27" s="77"/>
      <c r="H27" s="77"/>
      <c r="I27" s="77"/>
      <c r="J27" s="77"/>
      <c r="K27" s="77"/>
      <c r="L27" s="77"/>
      <c r="M27" s="77"/>
      <c r="N27" s="77"/>
    </row>
    <row r="28" spans="1:14">
      <c r="A28" s="72" t="s">
        <v>91</v>
      </c>
      <c r="B28" s="77">
        <v>3100</v>
      </c>
      <c r="C28" s="77"/>
      <c r="D28" s="77">
        <v>1000</v>
      </c>
      <c r="E28" s="77">
        <v>1000</v>
      </c>
      <c r="F28" s="77">
        <v>300</v>
      </c>
      <c r="G28" s="77">
        <v>300</v>
      </c>
      <c r="H28" s="77">
        <v>500</v>
      </c>
      <c r="I28" s="77"/>
      <c r="J28" s="77"/>
      <c r="K28" s="77"/>
      <c r="L28" s="77"/>
      <c r="M28" s="77"/>
      <c r="N28" s="77"/>
    </row>
    <row r="29" spans="1:14">
      <c r="A29" s="72" t="s">
        <v>92</v>
      </c>
      <c r="B29" s="77">
        <v>1650</v>
      </c>
      <c r="C29" s="77"/>
      <c r="D29" s="77">
        <v>150</v>
      </c>
      <c r="E29" s="77">
        <v>300</v>
      </c>
      <c r="F29" s="77">
        <v>300</v>
      </c>
      <c r="G29" s="77">
        <v>300</v>
      </c>
      <c r="H29" s="77">
        <v>300</v>
      </c>
      <c r="I29" s="77">
        <v>300</v>
      </c>
      <c r="J29" s="77"/>
      <c r="K29" s="77"/>
      <c r="L29" s="77"/>
      <c r="M29" s="77"/>
      <c r="N29" s="77"/>
    </row>
    <row r="30" spans="1:14">
      <c r="A30" s="72" t="s">
        <v>93</v>
      </c>
      <c r="B30" s="77">
        <v>3500</v>
      </c>
      <c r="C30" s="77"/>
      <c r="D30" s="77"/>
      <c r="E30" s="77">
        <v>700</v>
      </c>
      <c r="F30" s="77">
        <v>700</v>
      </c>
      <c r="G30" s="77">
        <v>700</v>
      </c>
      <c r="H30" s="77">
        <v>700</v>
      </c>
      <c r="I30" s="77">
        <v>700</v>
      </c>
      <c r="J30" s="77"/>
      <c r="K30" s="77"/>
      <c r="L30" s="77"/>
      <c r="M30" s="77"/>
      <c r="N30" s="77"/>
    </row>
    <row r="31" spans="1:14">
      <c r="A31" s="72" t="s">
        <v>94</v>
      </c>
      <c r="B31" s="77">
        <v>117616</v>
      </c>
      <c r="C31" s="77">
        <v>21320</v>
      </c>
      <c r="D31" s="77">
        <v>25461</v>
      </c>
      <c r="E31" s="77">
        <v>20867</v>
      </c>
      <c r="F31" s="77">
        <v>19032</v>
      </c>
      <c r="G31" s="77">
        <v>9450</v>
      </c>
      <c r="H31" s="77">
        <v>9350</v>
      </c>
      <c r="I31" s="77">
        <v>5300</v>
      </c>
      <c r="J31" s="77"/>
      <c r="K31" s="77"/>
      <c r="L31" s="77"/>
      <c r="M31" s="77"/>
      <c r="N31" s="77"/>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48067-B3C8-45BD-B43D-0818118DDA2E}">
  <dimension ref="B2:X79"/>
  <sheetViews>
    <sheetView zoomScale="80" zoomScaleNormal="80" workbookViewId="0">
      <pane xSplit="8" ySplit="2" topLeftCell="I77" activePane="bottomRight" state="frozen"/>
      <selection pane="topRight" activeCell="I1" sqref="I1"/>
      <selection pane="bottomLeft" activeCell="A3" sqref="A3"/>
      <selection pane="bottomRight" activeCell="A78" sqref="A78"/>
    </sheetView>
  </sheetViews>
  <sheetFormatPr defaultColWidth="8.58203125" defaultRowHeight="15.75" customHeight="1"/>
  <cols>
    <col min="1" max="1" width="6.08203125" style="61" customWidth="1"/>
    <col min="2" max="2" width="8.58203125" style="61" bestFit="1" customWidth="1"/>
    <col min="3" max="3" width="27.58203125" style="61" bestFit="1" customWidth="1"/>
    <col min="4" max="4" width="29" style="61" bestFit="1" customWidth="1"/>
    <col min="5" max="5" width="18.58203125" style="61" bestFit="1" customWidth="1"/>
    <col min="6" max="6" width="17.58203125" style="61" customWidth="1"/>
    <col min="7" max="7" width="13.08203125" style="61" customWidth="1"/>
    <col min="8" max="8" width="10.58203125" style="61" customWidth="1"/>
    <col min="9" max="9" width="14.58203125" style="61" bestFit="1" customWidth="1"/>
    <col min="10" max="10" width="16.08203125" style="61" bestFit="1" customWidth="1"/>
    <col min="11" max="11" width="5.5" style="61" bestFit="1" customWidth="1"/>
    <col min="12" max="12" width="12.08203125" style="61" bestFit="1" customWidth="1"/>
    <col min="13" max="13" width="18.08203125" style="61" bestFit="1" customWidth="1"/>
    <col min="14" max="14" width="18.08203125" style="61" customWidth="1"/>
    <col min="15" max="15" width="25.58203125" style="61" customWidth="1"/>
    <col min="16" max="17" width="25.58203125" style="65" customWidth="1"/>
    <col min="18" max="18" width="30.08203125" style="65" customWidth="1"/>
    <col min="19" max="20" width="50" style="65" customWidth="1"/>
    <col min="21" max="16384" width="8.58203125" style="61"/>
  </cols>
  <sheetData>
    <row r="2" spans="2:21" ht="15">
      <c r="B2" s="59" t="s">
        <v>95</v>
      </c>
      <c r="C2" s="59" t="s">
        <v>96</v>
      </c>
      <c r="D2" s="59" t="s">
        <v>97</v>
      </c>
      <c r="E2" s="59" t="s">
        <v>98</v>
      </c>
      <c r="F2" s="59" t="s">
        <v>99</v>
      </c>
      <c r="G2" s="59" t="s">
        <v>100</v>
      </c>
      <c r="H2" s="59" t="s">
        <v>101</v>
      </c>
      <c r="I2" s="59" t="s">
        <v>102</v>
      </c>
      <c r="J2" s="59" t="s">
        <v>103</v>
      </c>
      <c r="K2" s="59" t="s">
        <v>104</v>
      </c>
      <c r="L2" s="59" t="s">
        <v>105</v>
      </c>
      <c r="M2" s="59" t="s">
        <v>106</v>
      </c>
      <c r="N2" s="59" t="s">
        <v>107</v>
      </c>
      <c r="O2" s="59" t="s">
        <v>108</v>
      </c>
      <c r="P2" s="60">
        <v>45958</v>
      </c>
      <c r="Q2" s="60">
        <v>45944</v>
      </c>
      <c r="R2" s="60">
        <v>45937</v>
      </c>
      <c r="S2" s="60">
        <v>45902</v>
      </c>
      <c r="T2" s="60">
        <v>45895</v>
      </c>
    </row>
    <row r="3" spans="2:21" ht="30">
      <c r="B3" s="62">
        <f t="shared" ref="B3:B78" si="0">ROW(A3)-2</f>
        <v>1</v>
      </c>
      <c r="C3" s="62" t="s">
        <v>109</v>
      </c>
      <c r="D3" s="62" t="s">
        <v>110</v>
      </c>
      <c r="E3" s="62" t="s">
        <v>111</v>
      </c>
      <c r="F3" s="62" t="s">
        <v>112</v>
      </c>
      <c r="G3" s="62"/>
      <c r="H3" s="62"/>
      <c r="I3" s="62"/>
      <c r="J3" s="62" t="s">
        <v>113</v>
      </c>
      <c r="K3" s="62"/>
      <c r="L3" s="62"/>
      <c r="M3" s="62"/>
      <c r="N3" s="62"/>
      <c r="O3" s="62"/>
      <c r="P3" s="63"/>
      <c r="Q3" s="63"/>
      <c r="R3" s="63"/>
      <c r="S3" s="63" t="s">
        <v>114</v>
      </c>
      <c r="T3" s="63"/>
      <c r="U3" s="61" t="s">
        <v>115</v>
      </c>
    </row>
    <row r="4" spans="2:21" ht="105">
      <c r="B4" s="70">
        <f t="shared" si="0"/>
        <v>2</v>
      </c>
      <c r="C4" s="62" t="s">
        <v>116</v>
      </c>
      <c r="D4" s="62" t="s">
        <v>117</v>
      </c>
      <c r="E4" s="62" t="s">
        <v>118</v>
      </c>
      <c r="F4" s="62" t="s">
        <v>112</v>
      </c>
      <c r="G4" s="62"/>
      <c r="H4" s="62"/>
      <c r="I4" s="62"/>
      <c r="J4" s="62" t="s">
        <v>113</v>
      </c>
      <c r="K4" s="62"/>
      <c r="L4" s="62"/>
      <c r="M4" s="62"/>
      <c r="N4" s="62"/>
      <c r="O4" s="63" t="s">
        <v>119</v>
      </c>
      <c r="P4" s="63"/>
      <c r="Q4" s="63"/>
      <c r="R4" s="63"/>
      <c r="S4" s="63" t="s">
        <v>120</v>
      </c>
      <c r="T4" s="63"/>
      <c r="U4" s="61" t="s">
        <v>115</v>
      </c>
    </row>
    <row r="5" spans="2:21" ht="15">
      <c r="B5" s="62">
        <f t="shared" si="0"/>
        <v>3</v>
      </c>
      <c r="C5" s="62" t="s">
        <v>121</v>
      </c>
      <c r="D5" s="62" t="s">
        <v>122</v>
      </c>
      <c r="E5" s="62" t="s">
        <v>123</v>
      </c>
      <c r="F5" s="62" t="s">
        <v>124</v>
      </c>
      <c r="G5" s="62"/>
      <c r="H5" s="62"/>
      <c r="I5" s="62"/>
      <c r="J5" s="62" t="s">
        <v>125</v>
      </c>
      <c r="K5" s="62"/>
      <c r="L5" s="62"/>
      <c r="M5" s="62"/>
      <c r="N5" s="62"/>
      <c r="O5" s="62"/>
      <c r="P5" s="63"/>
      <c r="Q5" s="63"/>
      <c r="R5" s="63"/>
      <c r="S5" s="63"/>
      <c r="T5" s="63"/>
      <c r="U5" s="61" t="s">
        <v>115</v>
      </c>
    </row>
    <row r="6" spans="2:21" ht="15">
      <c r="B6" s="62">
        <f t="shared" si="0"/>
        <v>4</v>
      </c>
      <c r="C6" s="62" t="s">
        <v>126</v>
      </c>
      <c r="D6" s="62"/>
      <c r="E6" s="62"/>
      <c r="F6" s="62"/>
      <c r="G6" s="62"/>
      <c r="H6" s="62"/>
      <c r="I6" s="62"/>
      <c r="J6" s="62"/>
      <c r="K6" s="62"/>
      <c r="L6" s="62"/>
      <c r="M6" s="62"/>
      <c r="N6" s="62"/>
      <c r="O6" s="62"/>
      <c r="P6" s="63"/>
      <c r="Q6" s="63"/>
      <c r="R6" s="63"/>
      <c r="S6" s="63"/>
      <c r="T6" s="63"/>
      <c r="U6" s="61" t="s">
        <v>115</v>
      </c>
    </row>
    <row r="7" spans="2:21" ht="45">
      <c r="B7" s="70">
        <f t="shared" si="0"/>
        <v>5</v>
      </c>
      <c r="C7" s="62" t="s">
        <v>127</v>
      </c>
      <c r="D7" s="62" t="s">
        <v>128</v>
      </c>
      <c r="E7" s="62" t="s">
        <v>111</v>
      </c>
      <c r="F7" s="62" t="s">
        <v>112</v>
      </c>
      <c r="G7" s="62"/>
      <c r="H7" s="62"/>
      <c r="I7" s="62"/>
      <c r="J7" s="62" t="s">
        <v>129</v>
      </c>
      <c r="K7" s="62"/>
      <c r="L7" s="62"/>
      <c r="M7" s="62"/>
      <c r="N7" s="62"/>
      <c r="O7" s="63" t="s">
        <v>130</v>
      </c>
      <c r="P7" s="63"/>
      <c r="Q7" s="63"/>
      <c r="R7" s="63"/>
      <c r="S7" s="63"/>
      <c r="T7" s="63"/>
      <c r="U7" s="61" t="s">
        <v>115</v>
      </c>
    </row>
    <row r="8" spans="2:21" ht="60">
      <c r="B8" s="70">
        <f t="shared" si="0"/>
        <v>6</v>
      </c>
      <c r="C8" s="62" t="s">
        <v>131</v>
      </c>
      <c r="D8" s="62" t="s">
        <v>132</v>
      </c>
      <c r="E8" s="62" t="s">
        <v>111</v>
      </c>
      <c r="F8" s="62" t="s">
        <v>112</v>
      </c>
      <c r="G8" s="62"/>
      <c r="H8" s="62"/>
      <c r="I8" s="62"/>
      <c r="J8" s="62" t="s">
        <v>125</v>
      </c>
      <c r="K8" s="62"/>
      <c r="L8" s="62"/>
      <c r="M8" s="62"/>
      <c r="N8" s="62"/>
      <c r="O8" s="63" t="s">
        <v>133</v>
      </c>
      <c r="P8" s="63"/>
      <c r="Q8" s="63"/>
      <c r="R8" s="63"/>
      <c r="S8" s="63"/>
      <c r="T8" s="63"/>
      <c r="U8" s="61" t="s">
        <v>115</v>
      </c>
    </row>
    <row r="9" spans="2:21" ht="15">
      <c r="B9" s="62">
        <f t="shared" si="0"/>
        <v>7</v>
      </c>
      <c r="C9" s="62" t="s">
        <v>134</v>
      </c>
      <c r="D9" s="62" t="s">
        <v>135</v>
      </c>
      <c r="E9" s="62" t="s">
        <v>111</v>
      </c>
      <c r="F9" s="62" t="s">
        <v>136</v>
      </c>
      <c r="G9" s="62"/>
      <c r="H9" s="62"/>
      <c r="I9" s="62"/>
      <c r="J9" s="62" t="s">
        <v>125</v>
      </c>
      <c r="K9" s="62"/>
      <c r="L9" s="62"/>
      <c r="M9" s="62"/>
      <c r="N9" s="62"/>
      <c r="O9" s="62"/>
      <c r="P9" s="63"/>
      <c r="Q9" s="63"/>
      <c r="R9" s="63"/>
      <c r="S9" s="63"/>
      <c r="T9" s="63"/>
      <c r="U9" s="61" t="s">
        <v>115</v>
      </c>
    </row>
    <row r="10" spans="2:21" s="68" customFormat="1" ht="15">
      <c r="B10" s="66">
        <f t="shared" si="0"/>
        <v>8</v>
      </c>
      <c r="C10" s="66" t="s">
        <v>137</v>
      </c>
      <c r="D10" s="66"/>
      <c r="E10" s="66"/>
      <c r="F10" s="66"/>
      <c r="G10" s="66"/>
      <c r="H10" s="66"/>
      <c r="I10" s="66"/>
      <c r="J10" s="66"/>
      <c r="K10" s="66"/>
      <c r="L10" s="66"/>
      <c r="M10" s="66"/>
      <c r="N10" s="66"/>
      <c r="O10" s="66"/>
      <c r="P10" s="67"/>
      <c r="Q10" s="67"/>
      <c r="R10" s="67"/>
      <c r="S10" s="67"/>
      <c r="T10" s="67"/>
      <c r="U10" s="68" t="s">
        <v>115</v>
      </c>
    </row>
    <row r="11" spans="2:21" s="68" customFormat="1" ht="15">
      <c r="B11" s="66">
        <f t="shared" si="0"/>
        <v>9</v>
      </c>
      <c r="C11" s="66" t="s">
        <v>138</v>
      </c>
      <c r="D11" s="66"/>
      <c r="E11" s="66"/>
      <c r="F11" s="66"/>
      <c r="G11" s="66"/>
      <c r="H11" s="66"/>
      <c r="I11" s="66"/>
      <c r="J11" s="66"/>
      <c r="K11" s="66"/>
      <c r="L11" s="66"/>
      <c r="M11" s="66"/>
      <c r="N11" s="66"/>
      <c r="O11" s="66"/>
      <c r="P11" s="67"/>
      <c r="Q11" s="67"/>
      <c r="R11" s="67"/>
      <c r="S11" s="67"/>
      <c r="T11" s="67"/>
      <c r="U11" s="68" t="s">
        <v>115</v>
      </c>
    </row>
    <row r="12" spans="2:21" ht="60">
      <c r="B12" s="70">
        <f t="shared" si="0"/>
        <v>10</v>
      </c>
      <c r="C12" s="62" t="s">
        <v>139</v>
      </c>
      <c r="D12" s="64" t="s">
        <v>140</v>
      </c>
      <c r="E12" s="62"/>
      <c r="F12" s="62" t="s">
        <v>141</v>
      </c>
      <c r="G12" s="62" t="s">
        <v>142</v>
      </c>
      <c r="H12" s="62">
        <v>3</v>
      </c>
      <c r="I12" s="62"/>
      <c r="J12" s="62" t="s">
        <v>143</v>
      </c>
      <c r="K12" s="62" t="s">
        <v>144</v>
      </c>
      <c r="L12" s="62"/>
      <c r="M12" s="62"/>
      <c r="N12" s="62"/>
      <c r="O12" s="62"/>
      <c r="P12" s="63"/>
      <c r="Q12" s="63"/>
      <c r="R12" s="63"/>
      <c r="S12" s="63" t="s">
        <v>145</v>
      </c>
      <c r="T12" s="63" t="s">
        <v>146</v>
      </c>
      <c r="U12" s="61" t="s">
        <v>115</v>
      </c>
    </row>
    <row r="13" spans="2:21" ht="15">
      <c r="B13" s="62">
        <f t="shared" si="0"/>
        <v>11</v>
      </c>
      <c r="C13" s="62" t="s">
        <v>147</v>
      </c>
      <c r="D13" s="62" t="s">
        <v>148</v>
      </c>
      <c r="E13" s="62"/>
      <c r="F13" s="62" t="s">
        <v>141</v>
      </c>
      <c r="G13" s="62"/>
      <c r="H13" s="62"/>
      <c r="I13" s="62"/>
      <c r="J13" s="62" t="s">
        <v>149</v>
      </c>
      <c r="K13" s="62"/>
      <c r="L13" s="62"/>
      <c r="M13" s="62"/>
      <c r="N13" s="62"/>
      <c r="O13" s="62"/>
      <c r="P13" s="63"/>
      <c r="Q13" s="63"/>
      <c r="R13" s="63"/>
      <c r="S13" s="63"/>
      <c r="T13" s="63"/>
      <c r="U13" s="61" t="s">
        <v>115</v>
      </c>
    </row>
    <row r="14" spans="2:21" s="68" customFormat="1" ht="15">
      <c r="B14" s="66">
        <f t="shared" si="0"/>
        <v>12</v>
      </c>
      <c r="C14" s="66" t="s">
        <v>150</v>
      </c>
      <c r="D14" s="66"/>
      <c r="E14" s="66"/>
      <c r="F14" s="66"/>
      <c r="G14" s="66"/>
      <c r="H14" s="66"/>
      <c r="I14" s="66"/>
      <c r="J14" s="66"/>
      <c r="K14" s="66"/>
      <c r="L14" s="66"/>
      <c r="M14" s="66"/>
      <c r="N14" s="66"/>
      <c r="O14" s="66"/>
      <c r="P14" s="67"/>
      <c r="Q14" s="67"/>
      <c r="R14" s="67"/>
      <c r="S14" s="67"/>
      <c r="T14" s="67"/>
      <c r="U14" s="68" t="s">
        <v>115</v>
      </c>
    </row>
    <row r="15" spans="2:21" ht="15">
      <c r="B15" s="62">
        <f t="shared" si="0"/>
        <v>13</v>
      </c>
      <c r="C15" s="62" t="s">
        <v>151</v>
      </c>
      <c r="D15" s="62" t="s">
        <v>152</v>
      </c>
      <c r="E15" s="62"/>
      <c r="F15" s="62" t="s">
        <v>124</v>
      </c>
      <c r="G15" s="62"/>
      <c r="H15" s="62"/>
      <c r="I15" s="62"/>
      <c r="J15" s="62" t="s">
        <v>149</v>
      </c>
      <c r="K15" s="62"/>
      <c r="L15" s="62"/>
      <c r="M15" s="62"/>
      <c r="N15" s="62"/>
      <c r="O15" s="62"/>
      <c r="P15" s="63"/>
      <c r="Q15" s="63"/>
      <c r="R15" s="63"/>
      <c r="S15" s="63"/>
      <c r="T15" s="63"/>
      <c r="U15" s="61" t="s">
        <v>115</v>
      </c>
    </row>
    <row r="16" spans="2:21" s="68" customFormat="1" ht="15">
      <c r="B16" s="66">
        <f t="shared" si="0"/>
        <v>14</v>
      </c>
      <c r="C16" s="66" t="s">
        <v>153</v>
      </c>
      <c r="D16" s="66" t="s">
        <v>154</v>
      </c>
      <c r="E16" s="66"/>
      <c r="F16" s="66"/>
      <c r="G16" s="66"/>
      <c r="H16" s="66"/>
      <c r="I16" s="66"/>
      <c r="J16" s="66" t="s">
        <v>125</v>
      </c>
      <c r="K16" s="66"/>
      <c r="L16" s="66"/>
      <c r="M16" s="66"/>
      <c r="N16" s="66"/>
      <c r="O16" s="66"/>
      <c r="P16" s="67"/>
      <c r="Q16" s="67"/>
      <c r="R16" s="67"/>
      <c r="S16" s="67"/>
      <c r="T16" s="67"/>
      <c r="U16" s="68" t="s">
        <v>115</v>
      </c>
    </row>
    <row r="17" spans="2:21" ht="45">
      <c r="B17" s="70">
        <f t="shared" si="0"/>
        <v>15</v>
      </c>
      <c r="C17" s="62" t="s">
        <v>155</v>
      </c>
      <c r="D17" s="62" t="s">
        <v>156</v>
      </c>
      <c r="E17" s="62" t="s">
        <v>157</v>
      </c>
      <c r="F17" s="62" t="s">
        <v>124</v>
      </c>
      <c r="G17" s="62"/>
      <c r="H17" s="62"/>
      <c r="I17" s="62"/>
      <c r="J17" s="62" t="s">
        <v>113</v>
      </c>
      <c r="K17" s="62"/>
      <c r="L17" s="62"/>
      <c r="M17" s="62"/>
      <c r="N17" s="62"/>
      <c r="O17" s="63" t="s">
        <v>158</v>
      </c>
      <c r="P17" s="63"/>
      <c r="Q17" s="63"/>
      <c r="R17" s="63"/>
      <c r="S17" s="63" t="s">
        <v>159</v>
      </c>
      <c r="T17" s="63"/>
      <c r="U17" s="61" t="s">
        <v>115</v>
      </c>
    </row>
    <row r="18" spans="2:21" ht="15">
      <c r="B18" s="62">
        <f t="shared" si="0"/>
        <v>16</v>
      </c>
      <c r="C18" s="62" t="s">
        <v>160</v>
      </c>
      <c r="D18" s="62" t="s">
        <v>161</v>
      </c>
      <c r="E18" s="62" t="s">
        <v>118</v>
      </c>
      <c r="F18" s="62"/>
      <c r="G18" s="62"/>
      <c r="H18" s="62"/>
      <c r="I18" s="62"/>
      <c r="J18" s="62" t="s">
        <v>162</v>
      </c>
      <c r="K18" s="62" t="s">
        <v>163</v>
      </c>
      <c r="L18" s="62"/>
      <c r="M18" s="62"/>
      <c r="N18" s="62"/>
      <c r="O18" s="62"/>
      <c r="P18" s="63"/>
      <c r="Q18" s="63"/>
      <c r="R18" s="63"/>
      <c r="S18" s="63"/>
      <c r="T18" s="63"/>
      <c r="U18" s="61" t="s">
        <v>115</v>
      </c>
    </row>
    <row r="19" spans="2:21" s="68" customFormat="1" ht="15">
      <c r="B19" s="66">
        <f t="shared" si="0"/>
        <v>17</v>
      </c>
      <c r="C19" s="66" t="s">
        <v>164</v>
      </c>
      <c r="D19" s="66"/>
      <c r="E19" s="66"/>
      <c r="F19" s="66"/>
      <c r="G19" s="66"/>
      <c r="H19" s="66"/>
      <c r="I19" s="66"/>
      <c r="J19" s="66"/>
      <c r="K19" s="66"/>
      <c r="L19" s="66"/>
      <c r="M19" s="66"/>
      <c r="N19" s="66"/>
      <c r="O19" s="66"/>
      <c r="P19" s="67"/>
      <c r="Q19" s="67"/>
      <c r="R19" s="67"/>
      <c r="S19" s="67"/>
      <c r="T19" s="67"/>
      <c r="U19" s="68" t="s">
        <v>115</v>
      </c>
    </row>
    <row r="20" spans="2:21" s="68" customFormat="1" ht="15">
      <c r="B20" s="66">
        <f t="shared" si="0"/>
        <v>18</v>
      </c>
      <c r="C20" s="66" t="s">
        <v>165</v>
      </c>
      <c r="D20" s="66"/>
      <c r="E20" s="66"/>
      <c r="F20" s="66"/>
      <c r="G20" s="66"/>
      <c r="H20" s="66"/>
      <c r="I20" s="66"/>
      <c r="J20" s="66"/>
      <c r="K20" s="66"/>
      <c r="L20" s="66"/>
      <c r="M20" s="66"/>
      <c r="N20" s="66"/>
      <c r="O20" s="66"/>
      <c r="P20" s="67"/>
      <c r="Q20" s="67"/>
      <c r="R20" s="67"/>
      <c r="S20" s="67"/>
      <c r="T20" s="67"/>
      <c r="U20" s="68" t="s">
        <v>115</v>
      </c>
    </row>
    <row r="21" spans="2:21" ht="15">
      <c r="B21" s="62">
        <f t="shared" si="0"/>
        <v>19</v>
      </c>
      <c r="C21" s="62" t="s">
        <v>166</v>
      </c>
      <c r="D21" s="62" t="s">
        <v>122</v>
      </c>
      <c r="E21" s="62" t="s">
        <v>123</v>
      </c>
      <c r="F21" s="62" t="s">
        <v>124</v>
      </c>
      <c r="G21" s="62"/>
      <c r="H21" s="62"/>
      <c r="I21" s="62"/>
      <c r="J21" s="62" t="s">
        <v>125</v>
      </c>
      <c r="K21" s="62"/>
      <c r="L21" s="62"/>
      <c r="M21" s="62"/>
      <c r="N21" s="62"/>
      <c r="O21" s="62"/>
      <c r="P21" s="63"/>
      <c r="Q21" s="63"/>
      <c r="R21" s="63"/>
      <c r="S21" s="63"/>
      <c r="T21" s="63"/>
      <c r="U21" s="61" t="s">
        <v>115</v>
      </c>
    </row>
    <row r="22" spans="2:21" ht="15">
      <c r="B22" s="62">
        <f t="shared" si="0"/>
        <v>20</v>
      </c>
      <c r="C22" s="62" t="s">
        <v>167</v>
      </c>
      <c r="D22" s="62" t="s">
        <v>168</v>
      </c>
      <c r="E22" s="62" t="s">
        <v>111</v>
      </c>
      <c r="F22" s="62" t="s">
        <v>112</v>
      </c>
      <c r="G22" s="62"/>
      <c r="H22" s="62"/>
      <c r="I22" s="62"/>
      <c r="J22" s="62" t="s">
        <v>149</v>
      </c>
      <c r="K22" s="62"/>
      <c r="L22" s="62"/>
      <c r="M22" s="62"/>
      <c r="N22" s="62"/>
      <c r="O22" s="62"/>
      <c r="P22" s="63"/>
      <c r="Q22" s="63"/>
      <c r="R22" s="63"/>
      <c r="S22" s="63"/>
      <c r="T22" s="63"/>
      <c r="U22" s="61" t="s">
        <v>115</v>
      </c>
    </row>
    <row r="23" spans="2:21" ht="15">
      <c r="B23" s="62">
        <f t="shared" si="0"/>
        <v>21</v>
      </c>
      <c r="C23" s="62" t="s">
        <v>169</v>
      </c>
      <c r="D23" s="62" t="s">
        <v>170</v>
      </c>
      <c r="E23" s="62" t="s">
        <v>111</v>
      </c>
      <c r="F23" s="62" t="s">
        <v>171</v>
      </c>
      <c r="G23" s="62"/>
      <c r="H23" s="62"/>
      <c r="I23" s="62"/>
      <c r="J23" s="62" t="s">
        <v>149</v>
      </c>
      <c r="K23" s="62"/>
      <c r="L23" s="62"/>
      <c r="M23" s="62"/>
      <c r="N23" s="62"/>
      <c r="O23" s="62"/>
      <c r="P23" s="63"/>
      <c r="Q23" s="63"/>
      <c r="R23" s="63"/>
      <c r="S23" s="63"/>
      <c r="T23" s="63"/>
      <c r="U23" s="61" t="s">
        <v>115</v>
      </c>
    </row>
    <row r="24" spans="2:21" ht="15">
      <c r="B24" s="62">
        <f t="shared" si="0"/>
        <v>22</v>
      </c>
      <c r="C24" s="62" t="s">
        <v>172</v>
      </c>
      <c r="D24" s="62" t="s">
        <v>173</v>
      </c>
      <c r="E24" s="62" t="s">
        <v>174</v>
      </c>
      <c r="F24" s="62" t="s">
        <v>175</v>
      </c>
      <c r="G24" s="62"/>
      <c r="H24" s="62"/>
      <c r="I24" s="62"/>
      <c r="J24" s="62" t="s">
        <v>125</v>
      </c>
      <c r="K24" s="62"/>
      <c r="L24" s="62"/>
      <c r="M24" s="62"/>
      <c r="N24" s="62"/>
      <c r="O24" s="62"/>
      <c r="P24" s="63"/>
      <c r="Q24" s="63"/>
      <c r="R24" s="63"/>
      <c r="S24" s="63"/>
      <c r="T24" s="63"/>
      <c r="U24" s="61" t="s">
        <v>115</v>
      </c>
    </row>
    <row r="25" spans="2:21" ht="15">
      <c r="B25" s="62">
        <f t="shared" si="0"/>
        <v>23</v>
      </c>
      <c r="C25" s="62" t="s">
        <v>176</v>
      </c>
      <c r="D25" s="62" t="s">
        <v>177</v>
      </c>
      <c r="E25" s="62" t="s">
        <v>111</v>
      </c>
      <c r="F25" s="62" t="s">
        <v>112</v>
      </c>
      <c r="G25" s="62"/>
      <c r="H25" s="62"/>
      <c r="I25" s="62"/>
      <c r="J25" s="62" t="s">
        <v>125</v>
      </c>
      <c r="K25" s="62"/>
      <c r="L25" s="62"/>
      <c r="M25" s="62"/>
      <c r="N25" s="62"/>
      <c r="O25" s="62"/>
      <c r="P25" s="63"/>
      <c r="Q25" s="63"/>
      <c r="R25" s="63"/>
      <c r="S25" s="63"/>
      <c r="T25" s="63"/>
      <c r="U25" s="61" t="s">
        <v>115</v>
      </c>
    </row>
    <row r="26" spans="2:21" ht="30">
      <c r="B26" s="62">
        <f t="shared" si="0"/>
        <v>24</v>
      </c>
      <c r="C26" s="62" t="s">
        <v>178</v>
      </c>
      <c r="D26" s="62"/>
      <c r="E26" s="62"/>
      <c r="F26" s="62" t="s">
        <v>136</v>
      </c>
      <c r="G26" s="62"/>
      <c r="H26" s="62"/>
      <c r="I26" s="62"/>
      <c r="J26" s="62" t="s">
        <v>113</v>
      </c>
      <c r="K26" s="62"/>
      <c r="L26" s="62"/>
      <c r="M26" s="62"/>
      <c r="N26" s="62"/>
      <c r="O26" s="62"/>
      <c r="P26" s="63"/>
      <c r="Q26" s="63"/>
      <c r="R26" s="63"/>
      <c r="S26" s="63" t="s">
        <v>179</v>
      </c>
      <c r="T26" s="63"/>
      <c r="U26" s="61" t="s">
        <v>115</v>
      </c>
    </row>
    <row r="27" spans="2:21" s="68" customFormat="1" ht="15">
      <c r="B27" s="66">
        <f t="shared" si="0"/>
        <v>25</v>
      </c>
      <c r="C27" s="66" t="s">
        <v>180</v>
      </c>
      <c r="D27" s="66" t="s">
        <v>181</v>
      </c>
      <c r="E27" s="66" t="s">
        <v>111</v>
      </c>
      <c r="F27" s="66"/>
      <c r="G27" s="66"/>
      <c r="H27" s="66"/>
      <c r="I27" s="66"/>
      <c r="J27" s="66" t="s">
        <v>125</v>
      </c>
      <c r="K27" s="66"/>
      <c r="L27" s="66"/>
      <c r="M27" s="66"/>
      <c r="N27" s="66"/>
      <c r="O27" s="66"/>
      <c r="P27" s="67"/>
      <c r="Q27" s="67"/>
      <c r="R27" s="67"/>
      <c r="S27" s="67"/>
      <c r="T27" s="67"/>
      <c r="U27" s="68" t="s">
        <v>115</v>
      </c>
    </row>
    <row r="28" spans="2:21" ht="15">
      <c r="B28" s="62">
        <f t="shared" si="0"/>
        <v>26</v>
      </c>
      <c r="C28" s="62" t="s">
        <v>182</v>
      </c>
      <c r="D28" s="64" t="s">
        <v>183</v>
      </c>
      <c r="E28" s="62"/>
      <c r="F28" s="62" t="s">
        <v>184</v>
      </c>
      <c r="G28" s="62" t="s">
        <v>185</v>
      </c>
      <c r="H28" s="62">
        <v>3</v>
      </c>
      <c r="I28" s="62" t="s">
        <v>186</v>
      </c>
      <c r="J28" s="62" t="s">
        <v>187</v>
      </c>
      <c r="K28" s="62"/>
      <c r="L28" s="62"/>
      <c r="M28" s="62"/>
      <c r="N28" s="62"/>
      <c r="O28" s="62"/>
      <c r="P28" s="63"/>
      <c r="Q28" s="63"/>
      <c r="R28" s="63"/>
      <c r="S28" s="63"/>
      <c r="T28" s="63" t="s">
        <v>188</v>
      </c>
      <c r="U28" s="61" t="s">
        <v>115</v>
      </c>
    </row>
    <row r="29" spans="2:21" ht="60">
      <c r="B29" s="62">
        <f t="shared" si="0"/>
        <v>27</v>
      </c>
      <c r="C29" s="62" t="s">
        <v>189</v>
      </c>
      <c r="D29" s="62"/>
      <c r="E29" s="62"/>
      <c r="F29" s="62" t="s">
        <v>112</v>
      </c>
      <c r="G29" s="62" t="s">
        <v>190</v>
      </c>
      <c r="H29" s="62">
        <v>2</v>
      </c>
      <c r="I29" s="62"/>
      <c r="J29" s="62" t="s">
        <v>191</v>
      </c>
      <c r="K29" s="62"/>
      <c r="L29" s="62"/>
      <c r="M29" s="62"/>
      <c r="N29" s="62"/>
      <c r="O29" s="62"/>
      <c r="P29" s="63" t="s">
        <v>192</v>
      </c>
      <c r="Q29" s="63" t="s">
        <v>193</v>
      </c>
      <c r="R29" s="63" t="s">
        <v>193</v>
      </c>
      <c r="S29" s="63" t="s">
        <v>194</v>
      </c>
      <c r="T29" s="63"/>
      <c r="U29" s="61" t="s">
        <v>115</v>
      </c>
    </row>
    <row r="30" spans="2:21" ht="15">
      <c r="B30" s="62">
        <f t="shared" si="0"/>
        <v>28</v>
      </c>
      <c r="C30" s="62" t="s">
        <v>195</v>
      </c>
      <c r="D30" s="62"/>
      <c r="E30" s="62"/>
      <c r="F30" s="62"/>
      <c r="G30" s="62"/>
      <c r="H30" s="62"/>
      <c r="I30" s="62"/>
      <c r="J30" s="62"/>
      <c r="K30" s="62"/>
      <c r="L30" s="62"/>
      <c r="M30" s="62"/>
      <c r="N30" s="62"/>
      <c r="O30" s="62"/>
      <c r="P30" s="63"/>
      <c r="Q30" s="63"/>
      <c r="R30" s="63"/>
      <c r="S30" s="63"/>
      <c r="T30" s="63"/>
      <c r="U30" s="61" t="s">
        <v>115</v>
      </c>
    </row>
    <row r="31" spans="2:21" ht="15">
      <c r="B31" s="62">
        <f t="shared" si="0"/>
        <v>29</v>
      </c>
      <c r="C31" s="62" t="s">
        <v>196</v>
      </c>
      <c r="D31" s="62"/>
      <c r="E31" s="62"/>
      <c r="F31" s="62"/>
      <c r="G31" s="62"/>
      <c r="H31" s="62"/>
      <c r="I31" s="62"/>
      <c r="J31" s="62"/>
      <c r="K31" s="62"/>
      <c r="L31" s="62"/>
      <c r="M31" s="62"/>
      <c r="N31" s="62"/>
      <c r="O31" s="62"/>
      <c r="P31" s="63"/>
      <c r="Q31" s="63"/>
      <c r="R31" s="63"/>
      <c r="S31" s="63"/>
      <c r="T31" s="63"/>
      <c r="U31" s="61" t="s">
        <v>115</v>
      </c>
    </row>
    <row r="32" spans="2:21" ht="15">
      <c r="B32" s="62">
        <f t="shared" si="0"/>
        <v>30</v>
      </c>
      <c r="C32" s="62" t="s">
        <v>197</v>
      </c>
      <c r="D32" s="62"/>
      <c r="E32" s="62"/>
      <c r="F32" s="62"/>
      <c r="G32" s="62"/>
      <c r="H32" s="62"/>
      <c r="I32" s="62"/>
      <c r="J32" s="62"/>
      <c r="K32" s="62"/>
      <c r="L32" s="62"/>
      <c r="M32" s="62"/>
      <c r="N32" s="62"/>
      <c r="O32" s="62"/>
      <c r="P32" s="63"/>
      <c r="Q32" s="63"/>
      <c r="R32" s="63"/>
      <c r="S32" s="63"/>
      <c r="T32" s="63"/>
      <c r="U32" s="61" t="s">
        <v>115</v>
      </c>
    </row>
    <row r="33" spans="2:21" ht="15">
      <c r="B33" s="62">
        <f t="shared" si="0"/>
        <v>31</v>
      </c>
      <c r="C33" s="62" t="s">
        <v>198</v>
      </c>
      <c r="D33" s="62" t="s">
        <v>199</v>
      </c>
      <c r="E33" s="62" t="s">
        <v>111</v>
      </c>
      <c r="F33" s="62" t="s">
        <v>136</v>
      </c>
      <c r="G33" s="62" t="s">
        <v>200</v>
      </c>
      <c r="H33" s="62"/>
      <c r="I33" s="62"/>
      <c r="J33" s="62" t="s">
        <v>125</v>
      </c>
      <c r="K33" s="62"/>
      <c r="L33" s="62"/>
      <c r="M33" s="62"/>
      <c r="N33" s="62"/>
      <c r="O33" s="62"/>
      <c r="P33" s="63"/>
      <c r="Q33" s="63"/>
      <c r="R33" s="63"/>
      <c r="S33" s="63"/>
      <c r="T33" s="63"/>
      <c r="U33" s="61" t="s">
        <v>115</v>
      </c>
    </row>
    <row r="34" spans="2:21" ht="15">
      <c r="B34" s="62">
        <f t="shared" si="0"/>
        <v>32</v>
      </c>
      <c r="C34" s="62" t="s">
        <v>201</v>
      </c>
      <c r="D34" s="62" t="s">
        <v>181</v>
      </c>
      <c r="E34" s="62" t="s">
        <v>111</v>
      </c>
      <c r="F34" s="62" t="s">
        <v>136</v>
      </c>
      <c r="G34" s="62"/>
      <c r="H34" s="62"/>
      <c r="I34" s="62"/>
      <c r="J34" s="62" t="s">
        <v>125</v>
      </c>
      <c r="K34" s="62"/>
      <c r="L34" s="62"/>
      <c r="M34" s="62"/>
      <c r="N34" s="62"/>
      <c r="O34" s="62"/>
      <c r="P34" s="63"/>
      <c r="Q34" s="63"/>
      <c r="R34" s="63"/>
      <c r="S34" s="63"/>
      <c r="T34" s="63"/>
      <c r="U34" s="61" t="s">
        <v>115</v>
      </c>
    </row>
    <row r="35" spans="2:21" ht="15">
      <c r="B35" s="62">
        <f t="shared" si="0"/>
        <v>33</v>
      </c>
      <c r="C35" s="62" t="s">
        <v>202</v>
      </c>
      <c r="D35" s="62" t="s">
        <v>181</v>
      </c>
      <c r="E35" s="62" t="s">
        <v>111</v>
      </c>
      <c r="F35" s="62" t="s">
        <v>112</v>
      </c>
      <c r="G35" s="62"/>
      <c r="H35" s="62"/>
      <c r="I35" s="62"/>
      <c r="J35" s="62" t="s">
        <v>203</v>
      </c>
      <c r="K35" s="62"/>
      <c r="L35" s="62"/>
      <c r="M35" s="62"/>
      <c r="N35" s="62"/>
      <c r="O35" s="62"/>
      <c r="P35" s="63"/>
      <c r="Q35" s="63"/>
      <c r="R35" s="63"/>
      <c r="S35" s="63"/>
      <c r="T35" s="63"/>
      <c r="U35" s="61" t="s">
        <v>115</v>
      </c>
    </row>
    <row r="36" spans="2:21" ht="15">
      <c r="B36" s="62">
        <f t="shared" si="0"/>
        <v>34</v>
      </c>
      <c r="C36" s="62" t="s">
        <v>204</v>
      </c>
      <c r="D36" s="62" t="s">
        <v>205</v>
      </c>
      <c r="E36" s="62" t="s">
        <v>174</v>
      </c>
      <c r="F36" s="62" t="s">
        <v>112</v>
      </c>
      <c r="G36" s="62"/>
      <c r="H36" s="62"/>
      <c r="I36" s="62"/>
      <c r="J36" s="62" t="s">
        <v>125</v>
      </c>
      <c r="K36" s="62"/>
      <c r="L36" s="62"/>
      <c r="M36" s="62"/>
      <c r="N36" s="62"/>
      <c r="O36" s="62"/>
      <c r="P36" s="63"/>
      <c r="Q36" s="63"/>
      <c r="R36" s="63"/>
      <c r="S36" s="63"/>
      <c r="T36" s="63"/>
      <c r="U36" s="61" t="s">
        <v>115</v>
      </c>
    </row>
    <row r="37" spans="2:21" ht="60">
      <c r="B37" s="70">
        <f t="shared" si="0"/>
        <v>35</v>
      </c>
      <c r="C37" s="62" t="s">
        <v>206</v>
      </c>
      <c r="D37" s="64" t="s">
        <v>207</v>
      </c>
      <c r="E37" s="64"/>
      <c r="F37" s="64" t="s">
        <v>208</v>
      </c>
      <c r="G37" s="62" t="s">
        <v>209</v>
      </c>
      <c r="H37" s="62">
        <v>6</v>
      </c>
      <c r="I37" s="62" t="s">
        <v>210</v>
      </c>
      <c r="J37" s="62" t="s">
        <v>143</v>
      </c>
      <c r="K37" s="62"/>
      <c r="L37" s="62"/>
      <c r="M37" s="62"/>
      <c r="N37" s="62"/>
      <c r="O37" s="62"/>
      <c r="P37" s="63" t="s">
        <v>211</v>
      </c>
      <c r="Q37" s="63" t="s">
        <v>212</v>
      </c>
      <c r="R37" s="63" t="s">
        <v>213</v>
      </c>
      <c r="S37" s="63" t="s">
        <v>214</v>
      </c>
      <c r="T37" s="63" t="s">
        <v>214</v>
      </c>
      <c r="U37" s="61" t="s">
        <v>115</v>
      </c>
    </row>
    <row r="38" spans="2:21" ht="15">
      <c r="B38" s="62">
        <f t="shared" si="0"/>
        <v>36</v>
      </c>
      <c r="C38" s="62" t="s">
        <v>215</v>
      </c>
      <c r="D38" s="62"/>
      <c r="E38" s="62"/>
      <c r="F38" s="62" t="s">
        <v>124</v>
      </c>
      <c r="G38" s="62"/>
      <c r="H38" s="62"/>
      <c r="I38" s="62"/>
      <c r="J38" s="62" t="s">
        <v>125</v>
      </c>
      <c r="K38" s="62"/>
      <c r="L38" s="62"/>
      <c r="M38" s="62"/>
      <c r="N38" s="62"/>
      <c r="O38" s="62"/>
      <c r="P38" s="63"/>
      <c r="Q38" s="63"/>
      <c r="R38" s="63"/>
      <c r="S38" s="63"/>
      <c r="T38" s="63"/>
      <c r="U38" s="61" t="s">
        <v>115</v>
      </c>
    </row>
    <row r="39" spans="2:21" ht="15">
      <c r="B39" s="62">
        <f t="shared" si="0"/>
        <v>37</v>
      </c>
      <c r="C39" s="62" t="s">
        <v>216</v>
      </c>
      <c r="D39" s="62"/>
      <c r="E39" s="62"/>
      <c r="F39" s="62" t="s">
        <v>124</v>
      </c>
      <c r="G39" s="62"/>
      <c r="H39" s="62"/>
      <c r="I39" s="62"/>
      <c r="J39" s="62" t="s">
        <v>125</v>
      </c>
      <c r="K39" s="62"/>
      <c r="L39" s="62"/>
      <c r="M39" s="62"/>
      <c r="N39" s="62"/>
      <c r="O39" s="62"/>
      <c r="P39" s="63"/>
      <c r="Q39" s="63"/>
      <c r="R39" s="63"/>
      <c r="S39" s="63"/>
      <c r="T39" s="63"/>
    </row>
    <row r="40" spans="2:21" ht="15">
      <c r="B40" s="62">
        <f t="shared" si="0"/>
        <v>38</v>
      </c>
      <c r="C40" s="62" t="s">
        <v>217</v>
      </c>
      <c r="D40" s="62"/>
      <c r="E40" s="62"/>
      <c r="F40" s="62" t="s">
        <v>112</v>
      </c>
      <c r="G40" s="62"/>
      <c r="H40" s="62"/>
      <c r="I40" s="62"/>
      <c r="J40" s="62" t="s">
        <v>125</v>
      </c>
      <c r="K40" s="62"/>
      <c r="L40" s="62"/>
      <c r="M40" s="62"/>
      <c r="N40" s="62"/>
      <c r="O40" s="62"/>
      <c r="P40" s="63"/>
      <c r="Q40" s="63"/>
      <c r="R40" s="63"/>
      <c r="S40" s="63"/>
      <c r="T40" s="63"/>
    </row>
    <row r="41" spans="2:21" s="68" customFormat="1" ht="15">
      <c r="B41" s="66">
        <f t="shared" si="0"/>
        <v>39</v>
      </c>
      <c r="C41" s="66" t="s">
        <v>218</v>
      </c>
      <c r="D41" s="66" t="s">
        <v>148</v>
      </c>
      <c r="E41" s="66"/>
      <c r="F41" s="66"/>
      <c r="G41" s="66"/>
      <c r="H41" s="66"/>
      <c r="I41" s="66"/>
      <c r="J41" s="66" t="s">
        <v>125</v>
      </c>
      <c r="K41" s="66"/>
      <c r="L41" s="66"/>
      <c r="M41" s="66"/>
      <c r="N41" s="66"/>
      <c r="O41" s="66"/>
      <c r="P41" s="67"/>
      <c r="Q41" s="67"/>
      <c r="R41" s="67"/>
      <c r="S41" s="67"/>
      <c r="T41" s="67"/>
    </row>
    <row r="42" spans="2:21" ht="90">
      <c r="B42" s="62">
        <f t="shared" si="0"/>
        <v>40</v>
      </c>
      <c r="C42" s="62" t="s">
        <v>219</v>
      </c>
      <c r="D42" s="62" t="s">
        <v>177</v>
      </c>
      <c r="E42" s="62" t="s">
        <v>111</v>
      </c>
      <c r="F42" s="62" t="s">
        <v>124</v>
      </c>
      <c r="G42" s="62">
        <v>3500</v>
      </c>
      <c r="H42" s="62"/>
      <c r="I42" s="62" t="s">
        <v>220</v>
      </c>
      <c r="J42" s="62" t="s">
        <v>221</v>
      </c>
      <c r="K42" s="62" t="s">
        <v>222</v>
      </c>
      <c r="L42" s="62"/>
      <c r="M42" s="62"/>
      <c r="N42" s="62"/>
      <c r="O42" s="62"/>
      <c r="P42" s="63" t="s">
        <v>223</v>
      </c>
      <c r="Q42" s="63" t="s">
        <v>224</v>
      </c>
      <c r="R42" s="63"/>
      <c r="S42" s="63"/>
      <c r="T42" s="63"/>
    </row>
    <row r="43" spans="2:21" ht="75">
      <c r="B43" s="70">
        <f t="shared" si="0"/>
        <v>41</v>
      </c>
      <c r="C43" s="62" t="s">
        <v>225</v>
      </c>
      <c r="D43" s="62" t="s">
        <v>226</v>
      </c>
      <c r="E43" s="62" t="s">
        <v>174</v>
      </c>
      <c r="F43" s="62" t="s">
        <v>227</v>
      </c>
      <c r="G43" s="62"/>
      <c r="H43" s="62"/>
      <c r="I43" s="62"/>
      <c r="J43" s="62" t="s">
        <v>125</v>
      </c>
      <c r="K43" s="62"/>
      <c r="L43" s="62"/>
      <c r="M43" s="62"/>
      <c r="N43" s="62"/>
      <c r="O43" s="63" t="s">
        <v>228</v>
      </c>
      <c r="P43" s="63"/>
      <c r="Q43" s="63"/>
      <c r="R43" s="63"/>
      <c r="S43" s="63"/>
      <c r="T43" s="63"/>
    </row>
    <row r="44" spans="2:21" ht="15">
      <c r="B44" s="62">
        <f t="shared" si="0"/>
        <v>42</v>
      </c>
      <c r="C44" s="62" t="s">
        <v>229</v>
      </c>
      <c r="D44" s="62" t="s">
        <v>177</v>
      </c>
      <c r="E44" s="62" t="s">
        <v>111</v>
      </c>
      <c r="F44" s="62" t="s">
        <v>124</v>
      </c>
      <c r="G44" s="62"/>
      <c r="H44" s="62"/>
      <c r="I44" s="62"/>
      <c r="J44" s="62" t="s">
        <v>125</v>
      </c>
      <c r="K44" s="62"/>
      <c r="L44" s="62"/>
      <c r="M44" s="62"/>
      <c r="N44" s="62"/>
      <c r="O44" s="62"/>
      <c r="P44" s="63"/>
      <c r="Q44" s="63"/>
      <c r="R44" s="63"/>
      <c r="S44" s="63"/>
      <c r="T44" s="63"/>
    </row>
    <row r="45" spans="2:21" ht="45">
      <c r="B45" s="62">
        <f t="shared" si="0"/>
        <v>43</v>
      </c>
      <c r="C45" s="58" t="s">
        <v>230</v>
      </c>
      <c r="D45" s="58" t="s">
        <v>231</v>
      </c>
      <c r="E45" s="62" t="s">
        <v>157</v>
      </c>
      <c r="F45" s="58" t="s">
        <v>112</v>
      </c>
      <c r="G45" s="62"/>
      <c r="H45" s="62"/>
      <c r="I45" s="62"/>
      <c r="J45" s="62" t="s">
        <v>191</v>
      </c>
      <c r="K45" s="62"/>
      <c r="L45" s="62"/>
      <c r="M45" s="62"/>
      <c r="N45" s="62"/>
      <c r="O45" s="62"/>
      <c r="P45" s="63" t="s">
        <v>232</v>
      </c>
      <c r="Q45" s="63"/>
      <c r="R45" s="63" t="s">
        <v>233</v>
      </c>
      <c r="S45" s="63" t="s">
        <v>234</v>
      </c>
      <c r="T45" s="63" t="s">
        <v>234</v>
      </c>
    </row>
    <row r="46" spans="2:21" ht="45">
      <c r="B46" s="62">
        <f t="shared" si="0"/>
        <v>44</v>
      </c>
      <c r="C46" s="58" t="s">
        <v>235</v>
      </c>
      <c r="D46" s="58" t="s">
        <v>236</v>
      </c>
      <c r="E46" s="62"/>
      <c r="F46" s="58" t="s">
        <v>175</v>
      </c>
      <c r="G46" s="62"/>
      <c r="H46" s="62"/>
      <c r="I46" s="62"/>
      <c r="J46" s="62" t="s">
        <v>237</v>
      </c>
      <c r="K46" s="62"/>
      <c r="L46" s="62"/>
      <c r="M46" s="62"/>
      <c r="N46" s="62"/>
      <c r="O46" s="62"/>
      <c r="P46" s="63" t="s">
        <v>238</v>
      </c>
      <c r="Q46" s="63"/>
      <c r="R46" s="63" t="s">
        <v>239</v>
      </c>
      <c r="S46" s="63" t="s">
        <v>240</v>
      </c>
      <c r="T46" s="63" t="s">
        <v>240</v>
      </c>
    </row>
    <row r="47" spans="2:21" ht="15">
      <c r="B47" s="70">
        <f t="shared" si="0"/>
        <v>45</v>
      </c>
      <c r="C47" s="62" t="s">
        <v>241</v>
      </c>
      <c r="D47" s="62" t="s">
        <v>242</v>
      </c>
      <c r="E47" s="62" t="s">
        <v>174</v>
      </c>
      <c r="F47" s="62" t="s">
        <v>112</v>
      </c>
      <c r="G47" s="62"/>
      <c r="H47" s="62"/>
      <c r="I47" s="62"/>
      <c r="J47" s="62" t="s">
        <v>243</v>
      </c>
      <c r="K47" s="62" t="s">
        <v>244</v>
      </c>
      <c r="L47" s="62"/>
      <c r="M47" s="62"/>
      <c r="N47" s="62"/>
      <c r="O47" s="62"/>
      <c r="P47" s="63"/>
      <c r="Q47" s="63"/>
      <c r="R47" s="63"/>
      <c r="S47" s="63" t="s">
        <v>245</v>
      </c>
      <c r="T47" s="63"/>
    </row>
    <row r="48" spans="2:21" ht="75">
      <c r="B48" s="70">
        <f t="shared" si="0"/>
        <v>46</v>
      </c>
      <c r="C48" s="62" t="s">
        <v>246</v>
      </c>
      <c r="D48" s="62" t="s">
        <v>247</v>
      </c>
      <c r="E48" s="62" t="s">
        <v>157</v>
      </c>
      <c r="F48" s="62" t="s">
        <v>112</v>
      </c>
      <c r="G48" s="62"/>
      <c r="H48" s="62"/>
      <c r="I48" s="62"/>
      <c r="J48" s="62" t="s">
        <v>125</v>
      </c>
      <c r="K48" s="62"/>
      <c r="L48" s="62"/>
      <c r="M48" s="62"/>
      <c r="N48" s="62"/>
      <c r="O48" s="63" t="s">
        <v>248</v>
      </c>
      <c r="P48" s="63"/>
      <c r="Q48" s="63"/>
      <c r="R48" s="63"/>
      <c r="S48" s="63"/>
      <c r="T48" s="63"/>
    </row>
    <row r="49" spans="2:20" ht="15">
      <c r="B49" s="62">
        <f t="shared" si="0"/>
        <v>47</v>
      </c>
      <c r="C49" s="62" t="s">
        <v>249</v>
      </c>
      <c r="D49" s="62" t="s">
        <v>250</v>
      </c>
      <c r="E49" s="62" t="s">
        <v>123</v>
      </c>
      <c r="F49" s="62" t="s">
        <v>112</v>
      </c>
      <c r="G49" s="62"/>
      <c r="H49" s="62"/>
      <c r="I49" s="62"/>
      <c r="J49" s="62" t="s">
        <v>125</v>
      </c>
      <c r="K49" s="62"/>
      <c r="L49" s="62"/>
      <c r="M49" s="62"/>
      <c r="N49" s="62"/>
      <c r="O49" s="62"/>
      <c r="P49" s="63"/>
      <c r="Q49" s="63"/>
      <c r="R49" s="63"/>
      <c r="S49" s="63"/>
      <c r="T49" s="63"/>
    </row>
    <row r="50" spans="2:20" ht="15">
      <c r="B50" s="62">
        <f t="shared" si="0"/>
        <v>48</v>
      </c>
      <c r="C50" s="62" t="s">
        <v>251</v>
      </c>
      <c r="D50" s="62" t="s">
        <v>177</v>
      </c>
      <c r="E50" s="62" t="s">
        <v>111</v>
      </c>
      <c r="F50" s="62" t="s">
        <v>112</v>
      </c>
      <c r="G50" s="62"/>
      <c r="H50" s="62"/>
      <c r="I50" s="62"/>
      <c r="J50" s="62" t="s">
        <v>125</v>
      </c>
      <c r="K50" s="62"/>
      <c r="L50" s="62"/>
      <c r="M50" s="62"/>
      <c r="N50" s="62"/>
      <c r="O50" s="62"/>
      <c r="P50" s="63"/>
      <c r="Q50" s="63"/>
      <c r="R50" s="63"/>
      <c r="S50" s="63"/>
      <c r="T50" s="63"/>
    </row>
    <row r="51" spans="2:20" ht="15">
      <c r="B51" s="62">
        <f t="shared" si="0"/>
        <v>49</v>
      </c>
      <c r="C51" s="62" t="s">
        <v>252</v>
      </c>
      <c r="D51" s="62" t="s">
        <v>181</v>
      </c>
      <c r="E51" s="62" t="s">
        <v>111</v>
      </c>
      <c r="F51" s="62" t="s">
        <v>112</v>
      </c>
      <c r="G51" s="62"/>
      <c r="H51" s="62"/>
      <c r="I51" s="62"/>
      <c r="J51" s="62" t="s">
        <v>125</v>
      </c>
      <c r="K51" s="62"/>
      <c r="L51" s="62"/>
      <c r="M51" s="62"/>
      <c r="N51" s="62"/>
      <c r="O51" s="62"/>
      <c r="P51" s="63"/>
      <c r="Q51" s="63"/>
      <c r="R51" s="63"/>
      <c r="S51" s="63"/>
      <c r="T51" s="63"/>
    </row>
    <row r="52" spans="2:20" ht="15">
      <c r="B52" s="62">
        <f t="shared" si="0"/>
        <v>50</v>
      </c>
      <c r="C52" s="62" t="s">
        <v>253</v>
      </c>
      <c r="D52" s="62" t="s">
        <v>254</v>
      </c>
      <c r="E52" s="62" t="s">
        <v>123</v>
      </c>
      <c r="F52" s="62" t="s">
        <v>112</v>
      </c>
      <c r="G52" s="62"/>
      <c r="H52" s="62"/>
      <c r="I52" s="62"/>
      <c r="J52" s="62" t="s">
        <v>255</v>
      </c>
      <c r="K52" s="62" t="s">
        <v>256</v>
      </c>
      <c r="L52" s="62"/>
      <c r="M52" s="62"/>
      <c r="N52" s="62"/>
      <c r="O52" s="62"/>
      <c r="P52" s="63"/>
      <c r="Q52" s="63"/>
      <c r="R52" s="63"/>
      <c r="S52" s="63" t="s">
        <v>257</v>
      </c>
      <c r="T52" s="63"/>
    </row>
    <row r="53" spans="2:20" ht="15">
      <c r="B53" s="62">
        <f>ROW(A53)-2</f>
        <v>51</v>
      </c>
      <c r="C53" s="62" t="s">
        <v>258</v>
      </c>
      <c r="D53" s="62" t="s">
        <v>259</v>
      </c>
      <c r="E53" s="62" t="s">
        <v>111</v>
      </c>
      <c r="F53" s="62" t="s">
        <v>124</v>
      </c>
      <c r="G53" s="62"/>
      <c r="H53" s="62"/>
      <c r="I53" s="62"/>
      <c r="J53" s="62" t="s">
        <v>125</v>
      </c>
      <c r="K53" s="62"/>
      <c r="L53" s="62"/>
      <c r="M53" s="62"/>
      <c r="N53" s="62"/>
      <c r="O53" s="62"/>
      <c r="P53" s="63"/>
      <c r="Q53" s="63"/>
      <c r="R53" s="63"/>
      <c r="S53" s="63"/>
      <c r="T53" s="63"/>
    </row>
    <row r="54" spans="2:20" ht="15">
      <c r="B54" s="62">
        <f t="shared" si="0"/>
        <v>52</v>
      </c>
      <c r="C54" s="62" t="s">
        <v>260</v>
      </c>
      <c r="D54" s="62" t="s">
        <v>261</v>
      </c>
      <c r="E54" s="62" t="s">
        <v>174</v>
      </c>
      <c r="F54" s="62" t="s">
        <v>124</v>
      </c>
      <c r="G54" s="62"/>
      <c r="H54" s="62"/>
      <c r="I54" s="62"/>
      <c r="J54" s="62" t="s">
        <v>125</v>
      </c>
      <c r="K54" s="62"/>
      <c r="L54" s="62"/>
      <c r="M54" s="62"/>
      <c r="N54" s="62"/>
      <c r="O54" s="62"/>
      <c r="P54" s="63"/>
      <c r="Q54" s="63"/>
      <c r="R54" s="63"/>
      <c r="S54" s="63"/>
      <c r="T54" s="63"/>
    </row>
    <row r="55" spans="2:20" ht="15">
      <c r="B55" s="62">
        <f t="shared" si="0"/>
        <v>53</v>
      </c>
      <c r="C55" s="62" t="s">
        <v>262</v>
      </c>
      <c r="D55" s="62" t="s">
        <v>156</v>
      </c>
      <c r="E55" s="62" t="s">
        <v>157</v>
      </c>
      <c r="F55" s="62" t="s">
        <v>124</v>
      </c>
      <c r="G55" s="62"/>
      <c r="H55" s="62"/>
      <c r="I55" s="62"/>
      <c r="J55" s="62" t="s">
        <v>125</v>
      </c>
      <c r="K55" s="62"/>
      <c r="L55" s="62"/>
      <c r="M55" s="62"/>
      <c r="N55" s="62"/>
      <c r="O55" s="62"/>
      <c r="P55" s="63"/>
      <c r="Q55" s="63"/>
      <c r="R55" s="63"/>
      <c r="S55" s="63"/>
      <c r="T55" s="63"/>
    </row>
    <row r="56" spans="2:20" ht="15">
      <c r="B56" s="62">
        <f t="shared" si="0"/>
        <v>54</v>
      </c>
      <c r="C56" s="62" t="s">
        <v>263</v>
      </c>
      <c r="D56" s="62" t="s">
        <v>264</v>
      </c>
      <c r="E56" s="62" t="s">
        <v>123</v>
      </c>
      <c r="F56" s="62" t="s">
        <v>124</v>
      </c>
      <c r="G56" s="62"/>
      <c r="H56" s="62"/>
      <c r="I56" s="62"/>
      <c r="J56" s="62" t="s">
        <v>265</v>
      </c>
      <c r="K56" s="62"/>
      <c r="L56" s="62"/>
      <c r="M56" s="62"/>
      <c r="N56" s="62"/>
      <c r="O56" s="62"/>
      <c r="P56" s="63"/>
      <c r="Q56" s="63"/>
      <c r="R56" s="63"/>
      <c r="S56" s="63"/>
      <c r="T56" s="63"/>
    </row>
    <row r="57" spans="2:20" ht="15">
      <c r="B57" s="62">
        <f t="shared" si="0"/>
        <v>55</v>
      </c>
      <c r="C57" s="62" t="s">
        <v>266</v>
      </c>
      <c r="D57" s="62" t="s">
        <v>156</v>
      </c>
      <c r="E57" s="62" t="s">
        <v>157</v>
      </c>
      <c r="F57" s="62" t="s">
        <v>124</v>
      </c>
      <c r="G57" s="62"/>
      <c r="H57" s="62"/>
      <c r="I57" s="62"/>
      <c r="J57" s="62" t="s">
        <v>125</v>
      </c>
      <c r="K57" s="62"/>
      <c r="L57" s="62"/>
      <c r="M57" s="62"/>
      <c r="N57" s="62"/>
      <c r="O57" s="62"/>
      <c r="P57" s="63"/>
      <c r="Q57" s="63"/>
      <c r="R57" s="63"/>
      <c r="S57" s="63"/>
      <c r="T57" s="63"/>
    </row>
    <row r="58" spans="2:20" ht="15">
      <c r="B58" s="62">
        <f t="shared" si="0"/>
        <v>56</v>
      </c>
      <c r="C58" s="62" t="s">
        <v>267</v>
      </c>
      <c r="D58" s="62" t="s">
        <v>156</v>
      </c>
      <c r="E58" s="62" t="s">
        <v>157</v>
      </c>
      <c r="F58" s="62" t="s">
        <v>124</v>
      </c>
      <c r="G58" s="62"/>
      <c r="H58" s="62"/>
      <c r="I58" s="62"/>
      <c r="J58" s="62" t="s">
        <v>125</v>
      </c>
      <c r="K58" s="62"/>
      <c r="L58" s="62"/>
      <c r="M58" s="62"/>
      <c r="N58" s="62"/>
      <c r="O58" s="62"/>
      <c r="P58" s="63"/>
      <c r="Q58" s="63"/>
      <c r="R58" s="63"/>
      <c r="S58" s="63"/>
      <c r="T58" s="63"/>
    </row>
    <row r="59" spans="2:20" ht="15">
      <c r="B59" s="62">
        <f t="shared" si="0"/>
        <v>57</v>
      </c>
      <c r="C59" s="62" t="s">
        <v>268</v>
      </c>
      <c r="D59" s="62" t="s">
        <v>269</v>
      </c>
      <c r="E59" s="62" t="s">
        <v>123</v>
      </c>
      <c r="F59" s="62" t="s">
        <v>270</v>
      </c>
      <c r="G59" s="62">
        <v>285</v>
      </c>
      <c r="H59" s="62">
        <v>3</v>
      </c>
      <c r="I59" s="62"/>
      <c r="J59" s="62" t="s">
        <v>271</v>
      </c>
      <c r="K59" s="62" t="s">
        <v>244</v>
      </c>
      <c r="L59" s="62"/>
      <c r="M59" s="62"/>
      <c r="N59" s="62"/>
      <c r="O59" s="62"/>
      <c r="P59" s="63"/>
      <c r="Q59" s="63"/>
      <c r="R59" s="63"/>
      <c r="S59" s="63"/>
      <c r="T59" s="63"/>
    </row>
    <row r="60" spans="2:20" ht="30">
      <c r="B60" s="62">
        <f t="shared" si="0"/>
        <v>58</v>
      </c>
      <c r="C60" s="62" t="s">
        <v>272</v>
      </c>
      <c r="D60" s="62" t="s">
        <v>273</v>
      </c>
      <c r="E60" s="62" t="s">
        <v>157</v>
      </c>
      <c r="F60" s="62" t="s">
        <v>274</v>
      </c>
      <c r="G60" s="62" t="s">
        <v>190</v>
      </c>
      <c r="H60" s="62"/>
      <c r="I60" s="62"/>
      <c r="J60" s="62" t="s">
        <v>191</v>
      </c>
      <c r="K60" s="62" t="s">
        <v>275</v>
      </c>
      <c r="L60" s="62"/>
      <c r="M60" s="62"/>
      <c r="N60" s="62"/>
      <c r="O60" s="62"/>
      <c r="P60" s="63" t="s">
        <v>276</v>
      </c>
      <c r="Q60" s="63"/>
      <c r="R60" s="63" t="s">
        <v>277</v>
      </c>
      <c r="S60" s="63"/>
      <c r="T60" s="63"/>
    </row>
    <row r="61" spans="2:20" ht="15">
      <c r="B61" s="62">
        <f t="shared" si="0"/>
        <v>59</v>
      </c>
      <c r="C61" s="62" t="s">
        <v>278</v>
      </c>
      <c r="D61" s="62" t="s">
        <v>156</v>
      </c>
      <c r="E61" s="62" t="s">
        <v>157</v>
      </c>
      <c r="F61" s="62" t="s">
        <v>124</v>
      </c>
      <c r="G61" s="62"/>
      <c r="H61" s="62"/>
      <c r="I61" s="62"/>
      <c r="J61" s="62" t="s">
        <v>125</v>
      </c>
      <c r="K61" s="62"/>
      <c r="L61" s="62"/>
      <c r="M61" s="62"/>
      <c r="N61" s="62"/>
      <c r="O61" s="62"/>
      <c r="P61" s="63"/>
      <c r="Q61" s="63"/>
      <c r="R61" s="63"/>
      <c r="S61" s="63"/>
      <c r="T61" s="63"/>
    </row>
    <row r="62" spans="2:20" ht="15">
      <c r="B62" s="62">
        <f t="shared" si="0"/>
        <v>60</v>
      </c>
      <c r="C62" s="62" t="s">
        <v>279</v>
      </c>
      <c r="D62" s="62"/>
      <c r="E62" s="62"/>
      <c r="F62" s="62"/>
      <c r="G62" s="62"/>
      <c r="H62" s="62"/>
      <c r="I62" s="62"/>
      <c r="J62" s="62" t="s">
        <v>125</v>
      </c>
      <c r="K62" s="62"/>
      <c r="L62" s="62"/>
      <c r="M62" s="62"/>
      <c r="N62" s="62"/>
      <c r="O62" s="62"/>
      <c r="P62" s="63"/>
      <c r="Q62" s="63"/>
      <c r="R62" s="63"/>
      <c r="S62" s="63"/>
      <c r="T62" s="63"/>
    </row>
    <row r="63" spans="2:20" ht="15">
      <c r="B63" s="62">
        <f t="shared" si="0"/>
        <v>61</v>
      </c>
      <c r="C63" s="62" t="s">
        <v>267</v>
      </c>
      <c r="D63" s="62"/>
      <c r="E63" s="62"/>
      <c r="F63" s="62"/>
      <c r="G63" s="62"/>
      <c r="H63" s="62"/>
      <c r="I63" s="62"/>
      <c r="J63" s="62" t="s">
        <v>125</v>
      </c>
      <c r="K63" s="62"/>
      <c r="L63" s="62"/>
      <c r="M63" s="62"/>
      <c r="N63" s="62"/>
      <c r="O63" s="62"/>
      <c r="P63" s="63"/>
      <c r="Q63" s="63"/>
      <c r="R63" s="63"/>
      <c r="S63" s="63"/>
      <c r="T63" s="63"/>
    </row>
    <row r="64" spans="2:20" ht="15">
      <c r="B64" s="62">
        <f t="shared" si="0"/>
        <v>62</v>
      </c>
      <c r="C64" s="62" t="s">
        <v>127</v>
      </c>
      <c r="D64" s="62" t="s">
        <v>280</v>
      </c>
      <c r="E64" s="62" t="s">
        <v>174</v>
      </c>
      <c r="F64" s="62" t="s">
        <v>175</v>
      </c>
      <c r="G64" s="62"/>
      <c r="H64" s="62"/>
      <c r="I64" s="62"/>
      <c r="J64" s="62" t="s">
        <v>129</v>
      </c>
      <c r="K64" s="62"/>
      <c r="L64" s="62"/>
      <c r="M64" s="62"/>
      <c r="N64" s="62"/>
      <c r="O64" s="62"/>
      <c r="P64" s="63"/>
      <c r="Q64" s="63"/>
      <c r="R64" s="63"/>
      <c r="S64" s="63"/>
      <c r="T64" s="63"/>
    </row>
    <row r="65" spans="2:24" ht="15">
      <c r="B65" s="62">
        <f t="shared" si="0"/>
        <v>63</v>
      </c>
      <c r="C65" s="62" t="s">
        <v>281</v>
      </c>
      <c r="D65" s="62" t="s">
        <v>282</v>
      </c>
      <c r="E65" s="62" t="s">
        <v>157</v>
      </c>
      <c r="F65" s="62" t="s">
        <v>124</v>
      </c>
      <c r="G65" s="62"/>
      <c r="H65" s="62"/>
      <c r="I65" s="62"/>
      <c r="J65" s="62" t="s">
        <v>125</v>
      </c>
      <c r="K65" s="62"/>
      <c r="L65" s="62"/>
      <c r="M65" s="62"/>
      <c r="N65" s="62"/>
      <c r="O65" s="62"/>
      <c r="P65" s="63"/>
      <c r="Q65" s="63"/>
      <c r="R65" s="63"/>
      <c r="S65" s="63"/>
      <c r="T65" s="63"/>
    </row>
    <row r="66" spans="2:24" ht="90">
      <c r="B66" s="62">
        <f t="shared" si="0"/>
        <v>64</v>
      </c>
      <c r="C66" s="62" t="s">
        <v>283</v>
      </c>
      <c r="D66" s="62" t="s">
        <v>284</v>
      </c>
      <c r="E66" s="62" t="s">
        <v>157</v>
      </c>
      <c r="F66" s="62" t="s">
        <v>124</v>
      </c>
      <c r="G66" s="62"/>
      <c r="H66" s="62"/>
      <c r="I66" s="62"/>
      <c r="J66" s="62" t="s">
        <v>191</v>
      </c>
      <c r="K66" s="62"/>
      <c r="L66" s="62"/>
      <c r="M66" s="62"/>
      <c r="N66" s="62"/>
      <c r="O66" s="62"/>
      <c r="P66" s="63"/>
      <c r="Q66" s="63"/>
      <c r="R66" s="63" t="s">
        <v>285</v>
      </c>
      <c r="S66" s="63"/>
      <c r="T66" s="63"/>
    </row>
    <row r="67" spans="2:24" s="80" customFormat="1" ht="45">
      <c r="B67" s="78">
        <f t="shared" si="0"/>
        <v>65</v>
      </c>
      <c r="C67" s="78" t="s">
        <v>286</v>
      </c>
      <c r="D67" s="78" t="s">
        <v>287</v>
      </c>
      <c r="E67" s="78" t="s">
        <v>111</v>
      </c>
      <c r="F67" s="78" t="s">
        <v>124</v>
      </c>
      <c r="G67" s="78"/>
      <c r="H67" s="78"/>
      <c r="I67" s="78"/>
      <c r="J67" s="78" t="s">
        <v>191</v>
      </c>
      <c r="K67" s="78"/>
      <c r="L67" s="78"/>
      <c r="M67" s="78"/>
      <c r="N67" s="78"/>
      <c r="O67" s="78"/>
      <c r="P67" s="79" t="s">
        <v>288</v>
      </c>
      <c r="Q67" s="79"/>
      <c r="R67" s="79" t="s">
        <v>289</v>
      </c>
      <c r="S67" s="79"/>
      <c r="T67" s="79"/>
    </row>
    <row r="68" spans="2:24" ht="45">
      <c r="B68" s="62">
        <f t="shared" si="0"/>
        <v>66</v>
      </c>
      <c r="C68" s="62" t="s">
        <v>290</v>
      </c>
      <c r="D68" s="62"/>
      <c r="E68" s="62"/>
      <c r="F68" s="62"/>
      <c r="G68" s="62"/>
      <c r="H68" s="62"/>
      <c r="I68" s="62"/>
      <c r="J68" s="62" t="s">
        <v>191</v>
      </c>
      <c r="K68" s="62"/>
      <c r="L68" s="62"/>
      <c r="M68" s="62"/>
      <c r="N68" s="62"/>
      <c r="O68" s="62"/>
      <c r="P68" s="63" t="s">
        <v>291</v>
      </c>
      <c r="Q68" s="63"/>
      <c r="R68" s="63" t="s">
        <v>292</v>
      </c>
      <c r="S68" s="63"/>
      <c r="T68" s="63"/>
    </row>
    <row r="69" spans="2:24" s="80" customFormat="1" ht="30">
      <c r="B69" s="78">
        <f t="shared" si="0"/>
        <v>67</v>
      </c>
      <c r="C69" s="78" t="s">
        <v>293</v>
      </c>
      <c r="D69" s="78" t="s">
        <v>294</v>
      </c>
      <c r="E69" s="78" t="s">
        <v>157</v>
      </c>
      <c r="F69" s="78"/>
      <c r="G69" s="78" t="s">
        <v>295</v>
      </c>
      <c r="H69" s="78"/>
      <c r="I69" s="78"/>
      <c r="J69" s="78" t="s">
        <v>191</v>
      </c>
      <c r="K69" s="78"/>
      <c r="L69" s="78"/>
      <c r="M69" s="78"/>
      <c r="N69" s="78"/>
      <c r="O69" s="78"/>
      <c r="P69" s="79" t="s">
        <v>296</v>
      </c>
      <c r="Q69" s="79" t="s">
        <v>297</v>
      </c>
      <c r="R69" s="79" t="s">
        <v>298</v>
      </c>
      <c r="S69" s="79"/>
      <c r="T69" s="79"/>
    </row>
    <row r="70" spans="2:24" ht="135">
      <c r="B70" s="62">
        <f t="shared" si="0"/>
        <v>68</v>
      </c>
      <c r="C70" s="62" t="s">
        <v>299</v>
      </c>
      <c r="D70" s="62" t="s">
        <v>300</v>
      </c>
      <c r="E70" s="62" t="s">
        <v>111</v>
      </c>
      <c r="F70" s="62" t="s">
        <v>301</v>
      </c>
      <c r="G70" s="62"/>
      <c r="H70" s="62"/>
      <c r="I70" s="62"/>
      <c r="J70" s="62" t="s">
        <v>302</v>
      </c>
      <c r="K70" s="62"/>
      <c r="L70" s="62"/>
      <c r="M70" s="62"/>
      <c r="N70" s="62"/>
      <c r="O70" s="62"/>
      <c r="P70" s="63" t="s">
        <v>303</v>
      </c>
      <c r="Q70" s="63" t="s">
        <v>304</v>
      </c>
      <c r="R70" s="63" t="s">
        <v>304</v>
      </c>
      <c r="S70" s="63"/>
      <c r="T70" s="63"/>
    </row>
    <row r="71" spans="2:24" ht="15">
      <c r="B71" s="62">
        <f t="shared" si="0"/>
        <v>69</v>
      </c>
      <c r="C71" s="62" t="s">
        <v>305</v>
      </c>
      <c r="D71" s="62" t="s">
        <v>306</v>
      </c>
      <c r="E71" s="62" t="s">
        <v>157</v>
      </c>
      <c r="F71" s="62" t="s">
        <v>307</v>
      </c>
      <c r="G71" s="62"/>
      <c r="H71" s="62"/>
      <c r="I71" s="62"/>
      <c r="J71" s="62" t="s">
        <v>203</v>
      </c>
      <c r="K71" s="62"/>
      <c r="L71" s="62"/>
      <c r="M71" s="62"/>
      <c r="N71" s="62"/>
      <c r="O71" s="62"/>
      <c r="P71" s="63"/>
      <c r="Q71" s="63"/>
      <c r="R71" s="63"/>
      <c r="S71" s="63"/>
      <c r="T71" s="63"/>
    </row>
    <row r="72" spans="2:24" ht="15">
      <c r="B72" s="62">
        <f t="shared" si="0"/>
        <v>70</v>
      </c>
      <c r="C72" s="62" t="s">
        <v>308</v>
      </c>
      <c r="D72" s="62" t="s">
        <v>309</v>
      </c>
      <c r="E72" s="62" t="s">
        <v>123</v>
      </c>
      <c r="F72" s="62" t="s">
        <v>307</v>
      </c>
      <c r="G72" s="62" t="s">
        <v>310</v>
      </c>
      <c r="H72" s="62"/>
      <c r="I72" s="62"/>
      <c r="J72" s="62" t="s">
        <v>311</v>
      </c>
      <c r="K72" s="62" t="s">
        <v>244</v>
      </c>
      <c r="L72" s="62"/>
      <c r="M72" s="62"/>
      <c r="N72" s="62"/>
      <c r="O72" s="62"/>
      <c r="P72" s="63"/>
      <c r="Q72" s="63"/>
      <c r="R72" s="63"/>
      <c r="S72" s="63"/>
      <c r="T72" s="63"/>
    </row>
    <row r="73" spans="2:24" ht="15">
      <c r="B73" s="62">
        <f t="shared" si="0"/>
        <v>71</v>
      </c>
      <c r="C73" s="62" t="s">
        <v>312</v>
      </c>
      <c r="D73" s="62" t="s">
        <v>313</v>
      </c>
      <c r="E73" s="62"/>
      <c r="F73" s="62"/>
      <c r="G73" s="62" t="s">
        <v>314</v>
      </c>
      <c r="H73" s="62"/>
      <c r="I73" s="62"/>
      <c r="J73" s="62" t="s">
        <v>315</v>
      </c>
      <c r="K73" s="62" t="s">
        <v>222</v>
      </c>
      <c r="L73" s="62"/>
      <c r="M73" s="62"/>
      <c r="N73" s="62"/>
      <c r="O73" s="62"/>
      <c r="P73" s="63" t="s">
        <v>316</v>
      </c>
      <c r="Q73" s="63"/>
      <c r="R73" s="63"/>
      <c r="S73" s="63"/>
      <c r="T73" s="63"/>
    </row>
    <row r="74" spans="2:24" s="80" customFormat="1" ht="30">
      <c r="B74" s="78">
        <f t="shared" si="0"/>
        <v>72</v>
      </c>
      <c r="C74" s="78" t="s">
        <v>317</v>
      </c>
      <c r="D74" s="78" t="s">
        <v>318</v>
      </c>
      <c r="E74" s="78"/>
      <c r="F74" s="78"/>
      <c r="G74" s="78"/>
      <c r="H74" s="78"/>
      <c r="I74" s="78"/>
      <c r="J74" s="78" t="s">
        <v>237</v>
      </c>
      <c r="K74" s="78"/>
      <c r="L74" s="78"/>
      <c r="M74" s="78"/>
      <c r="N74" s="78"/>
      <c r="O74" s="78"/>
      <c r="P74" s="79" t="s">
        <v>319</v>
      </c>
      <c r="Q74" s="79"/>
      <c r="R74" s="79"/>
      <c r="S74" s="79"/>
      <c r="T74" s="79"/>
    </row>
    <row r="75" spans="2:24" ht="15">
      <c r="B75" s="62">
        <f t="shared" si="0"/>
        <v>73</v>
      </c>
      <c r="C75" s="62" t="s">
        <v>320</v>
      </c>
      <c r="D75" s="62" t="s">
        <v>321</v>
      </c>
      <c r="E75" s="62" t="s">
        <v>111</v>
      </c>
      <c r="F75" s="62" t="s">
        <v>322</v>
      </c>
      <c r="G75" s="62"/>
      <c r="H75" s="62"/>
      <c r="I75" s="62"/>
      <c r="J75" s="62" t="s">
        <v>323</v>
      </c>
      <c r="K75" s="62"/>
      <c r="L75" s="62"/>
      <c r="M75" s="62"/>
      <c r="N75" s="62"/>
      <c r="O75" s="62"/>
      <c r="P75" s="63"/>
      <c r="Q75" s="63"/>
      <c r="R75" s="63"/>
      <c r="S75" s="63"/>
      <c r="T75" s="63"/>
    </row>
    <row r="76" spans="2:24" s="80" customFormat="1" ht="15">
      <c r="B76" s="78">
        <f t="shared" si="0"/>
        <v>74</v>
      </c>
      <c r="C76" s="78" t="s">
        <v>324</v>
      </c>
      <c r="D76" s="78" t="s">
        <v>325</v>
      </c>
      <c r="E76" s="78" t="s">
        <v>123</v>
      </c>
      <c r="F76" s="78" t="s">
        <v>326</v>
      </c>
      <c r="G76" s="78" t="s">
        <v>327</v>
      </c>
      <c r="H76" s="78"/>
      <c r="I76" s="78"/>
      <c r="J76" s="78" t="s">
        <v>187</v>
      </c>
      <c r="K76" s="78"/>
      <c r="L76" s="78"/>
      <c r="M76" s="78"/>
      <c r="N76" s="78"/>
      <c r="O76" s="78"/>
      <c r="P76" s="79" t="s">
        <v>328</v>
      </c>
      <c r="Q76" s="79"/>
      <c r="R76" s="79"/>
      <c r="S76" s="79"/>
      <c r="T76" s="79"/>
    </row>
    <row r="77" spans="2:24" ht="15">
      <c r="B77" s="62">
        <v>75</v>
      </c>
      <c r="C77" s="62" t="s">
        <v>329</v>
      </c>
      <c r="D77" s="62" t="s">
        <v>330</v>
      </c>
      <c r="E77" s="62" t="s">
        <v>123</v>
      </c>
      <c r="F77" s="62" t="s">
        <v>307</v>
      </c>
      <c r="G77" s="62"/>
      <c r="H77" s="62"/>
      <c r="I77" s="62"/>
      <c r="J77" s="62" t="s">
        <v>271</v>
      </c>
      <c r="K77" s="62" t="s">
        <v>244</v>
      </c>
      <c r="L77" s="62"/>
      <c r="M77" s="62"/>
      <c r="N77" s="62"/>
      <c r="O77" s="62"/>
      <c r="P77" s="63"/>
      <c r="Q77" s="63"/>
      <c r="R77" s="63"/>
      <c r="S77" s="63"/>
      <c r="T77" s="63"/>
    </row>
    <row r="78" spans="2:24" ht="15">
      <c r="B78" s="62">
        <f t="shared" si="0"/>
        <v>76</v>
      </c>
      <c r="C78" s="62" t="s">
        <v>331</v>
      </c>
      <c r="D78" s="62" t="s">
        <v>332</v>
      </c>
      <c r="E78" s="62" t="s">
        <v>111</v>
      </c>
      <c r="F78" s="62" t="s">
        <v>326</v>
      </c>
      <c r="G78" s="62"/>
      <c r="H78" s="62"/>
      <c r="I78" s="62"/>
      <c r="J78" s="62" t="s">
        <v>333</v>
      </c>
      <c r="K78" s="62"/>
      <c r="L78" s="62"/>
      <c r="M78" s="62"/>
      <c r="N78" s="62"/>
      <c r="O78" s="62"/>
      <c r="P78" s="63"/>
      <c r="Q78" s="63"/>
      <c r="R78" s="63"/>
      <c r="S78" s="63"/>
      <c r="T78" s="63"/>
      <c r="U78" s="61" t="s">
        <v>115</v>
      </c>
    </row>
    <row r="79" spans="2:24" ht="15">
      <c r="B79" s="61" t="s">
        <v>115</v>
      </c>
      <c r="C79" s="61" t="s">
        <v>115</v>
      </c>
      <c r="D79" s="61" t="s">
        <v>115</v>
      </c>
      <c r="E79" s="61" t="s">
        <v>115</v>
      </c>
      <c r="F79" s="61" t="s">
        <v>115</v>
      </c>
      <c r="G79" s="61" t="s">
        <v>115</v>
      </c>
      <c r="H79" s="61" t="s">
        <v>115</v>
      </c>
      <c r="J79" s="61" t="s">
        <v>115</v>
      </c>
      <c r="K79" s="61" t="s">
        <v>115</v>
      </c>
      <c r="L79" s="61" t="s">
        <v>115</v>
      </c>
      <c r="M79" s="61" t="s">
        <v>115</v>
      </c>
      <c r="T79" s="65" t="s">
        <v>115</v>
      </c>
      <c r="U79" s="61" t="s">
        <v>115</v>
      </c>
      <c r="V79" s="61" t="s">
        <v>115</v>
      </c>
      <c r="W79" s="61" t="s">
        <v>115</v>
      </c>
      <c r="X79" s="61" t="s">
        <v>115</v>
      </c>
    </row>
  </sheetData>
  <phoneticPr fontId="3"/>
  <conditionalFormatting sqref="C45:D46">
    <cfRule type="expression" dxfId="14" priority="4">
      <formula>$J45="E"</formula>
    </cfRule>
    <cfRule type="expression" dxfId="13" priority="5">
      <formula>OR($J45="A",$J45="成立")</formula>
    </cfRule>
    <cfRule type="expression" dxfId="12" priority="6">
      <formula>$J45="失注"</formula>
    </cfRule>
  </conditionalFormatting>
  <conditionalFormatting sqref="D12">
    <cfRule type="expression" dxfId="11" priority="13">
      <formula>$K12="E"</formula>
    </cfRule>
    <cfRule type="expression" dxfId="10" priority="14">
      <formula>OR($K12="A",$K12="成立")</formula>
    </cfRule>
    <cfRule type="expression" dxfId="9" priority="15">
      <formula>$K12="失注"</formula>
    </cfRule>
  </conditionalFormatting>
  <conditionalFormatting sqref="D28">
    <cfRule type="expression" dxfId="8" priority="10">
      <formula>$J28="E"</formula>
    </cfRule>
    <cfRule type="expression" dxfId="7" priority="11">
      <formula>OR($J28="A",$J28="成立")</formula>
    </cfRule>
    <cfRule type="expression" dxfId="6" priority="12">
      <formula>$J28="失注"</formula>
    </cfRule>
  </conditionalFormatting>
  <conditionalFormatting sqref="D37:F37">
    <cfRule type="expression" dxfId="5" priority="7">
      <formula>$J37="E"</formula>
    </cfRule>
    <cfRule type="expression" dxfId="4" priority="8">
      <formula>OR($J37="A",$J37="成立")</formula>
    </cfRule>
    <cfRule type="expression" dxfId="3" priority="9">
      <formula>$J37="失注"</formula>
    </cfRule>
  </conditionalFormatting>
  <conditionalFormatting sqref="F45:F46">
    <cfRule type="expression" dxfId="2" priority="1">
      <formula>$J45="E"</formula>
    </cfRule>
    <cfRule type="expression" dxfId="1" priority="2">
      <formula>OR($J45="A",$J45="成立")</formula>
    </cfRule>
    <cfRule type="expression" dxfId="0" priority="3">
      <formula>$J45="失注"</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51426EED-B391-43B6-A9DE-158DEB1B366E}">
          <x14:formula1>
            <xm:f>【管理用】プルダウン!$I$3:$I$9</xm:f>
          </x14:formula1>
          <xm:sqref>E3:E78</xm:sqref>
        </x14:dataValidation>
        <x14:dataValidation type="list" allowBlank="1" showInputMessage="1" showErrorMessage="1" xr:uid="{2AC6D863-3D40-4BF3-B1F8-0D7CA9FF7238}">
          <x14:formula1>
            <xm:f>【管理用】プルダウン!$K$3:$K$8</xm:f>
          </x14:formula1>
          <xm:sqref>K3:K78</xm:sqref>
        </x14:dataValidation>
        <x14:dataValidation type="list" allowBlank="1" showInputMessage="1" showErrorMessage="1" xr:uid="{5DA111BA-BF0E-4AB2-8EE5-71AB9CD90770}">
          <x14:formula1>
            <xm:f>【管理用】プルダウン!$L$3:$L$6</xm:f>
          </x14:formula1>
          <xm:sqref>L3:M78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21879-FE1A-41D9-87F8-26F3A4F7143A}">
  <dimension ref="A1:Z103"/>
  <sheetViews>
    <sheetView showGridLines="0" topLeftCell="E1" zoomScale="87" zoomScaleNormal="70" workbookViewId="0">
      <pane ySplit="4" topLeftCell="A56" activePane="bottomLeft" state="frozen"/>
      <selection activeCell="A5" sqref="A5"/>
      <selection pane="bottomLeft" activeCell="F56" sqref="F56"/>
    </sheetView>
  </sheetViews>
  <sheetFormatPr defaultColWidth="8.58203125" defaultRowHeight="15" outlineLevelCol="1"/>
  <cols>
    <col min="1" max="1" width="4.08203125" style="37" customWidth="1"/>
    <col min="2" max="2" width="10.5" style="42" bestFit="1" customWidth="1"/>
    <col min="3" max="3" width="29" style="42" bestFit="1" customWidth="1"/>
    <col min="4" max="4" width="32.08203125" style="42" bestFit="1" customWidth="1"/>
    <col min="5" max="5" width="53.58203125" style="37" customWidth="1" outlineLevel="1"/>
    <col min="6" max="6" width="12.08203125" style="42" bestFit="1" customWidth="1"/>
    <col min="7" max="7" width="8.08203125" style="42" bestFit="1" customWidth="1"/>
    <col min="8" max="8" width="7" style="42" customWidth="1"/>
    <col min="9" max="9" width="12.08203125" style="41" customWidth="1"/>
    <col min="10" max="10" width="13.58203125" style="38" bestFit="1" customWidth="1"/>
    <col min="11" max="11" width="8" style="38" bestFit="1" customWidth="1"/>
    <col min="12" max="12" width="5.58203125" style="42" customWidth="1"/>
    <col min="13" max="13" width="7.5" style="38" bestFit="1" customWidth="1"/>
    <col min="14" max="25" width="8.08203125" style="41" customWidth="1"/>
    <col min="26" max="16384" width="8.58203125" style="37"/>
  </cols>
  <sheetData>
    <row r="1" spans="1:26">
      <c r="A1" s="40" t="s">
        <v>334</v>
      </c>
    </row>
    <row r="3" spans="1:26">
      <c r="G3" s="41"/>
      <c r="H3" s="41"/>
      <c r="I3" s="41">
        <f>SUM(I5:I44)</f>
        <v>178654</v>
      </c>
      <c r="J3" s="38" t="s">
        <v>335</v>
      </c>
      <c r="N3" s="41" t="s">
        <v>336</v>
      </c>
    </row>
    <row r="4" spans="1:26" ht="47.9" customHeight="1">
      <c r="A4" s="37" t="s">
        <v>337</v>
      </c>
      <c r="B4" s="48" t="s">
        <v>338</v>
      </c>
      <c r="C4" s="48" t="s">
        <v>339</v>
      </c>
      <c r="D4" s="48" t="s">
        <v>340</v>
      </c>
      <c r="E4" s="39" t="s">
        <v>341</v>
      </c>
      <c r="F4" s="48" t="s">
        <v>342</v>
      </c>
      <c r="G4" s="48" t="s">
        <v>343</v>
      </c>
      <c r="H4" s="48" t="s">
        <v>344</v>
      </c>
      <c r="I4" s="49" t="s">
        <v>345</v>
      </c>
      <c r="J4" s="50" t="s">
        <v>346</v>
      </c>
      <c r="K4" s="50" t="s">
        <v>347</v>
      </c>
      <c r="L4" s="49" t="s">
        <v>348</v>
      </c>
      <c r="M4" s="51" t="s">
        <v>349</v>
      </c>
      <c r="N4" s="52" t="s">
        <v>350</v>
      </c>
      <c r="O4" s="52" t="s">
        <v>351</v>
      </c>
      <c r="P4" s="52" t="s">
        <v>352</v>
      </c>
      <c r="Q4" s="52" t="s">
        <v>353</v>
      </c>
      <c r="R4" s="52" t="s">
        <v>354</v>
      </c>
      <c r="S4" s="52" t="s">
        <v>6</v>
      </c>
      <c r="T4" s="52" t="s">
        <v>7</v>
      </c>
      <c r="U4" s="52" t="s">
        <v>8</v>
      </c>
      <c r="V4" s="52" t="s">
        <v>9</v>
      </c>
      <c r="W4" s="52" t="s">
        <v>10</v>
      </c>
      <c r="X4" s="52" t="s">
        <v>11</v>
      </c>
      <c r="Y4" s="52" t="s">
        <v>12</v>
      </c>
      <c r="Z4" s="37" t="s">
        <v>355</v>
      </c>
    </row>
    <row r="5" spans="1:26">
      <c r="B5" s="43">
        <f>ROW(A5)-4</f>
        <v>1</v>
      </c>
      <c r="C5" s="43" t="s">
        <v>356</v>
      </c>
      <c r="D5" s="43" t="s">
        <v>357</v>
      </c>
      <c r="E5" s="43" t="str">
        <f>"0"&amp;B5&amp;"_"&amp;C5&amp;"_"&amp;D5</f>
        <v>01_伊藤ハム米久ホールディングス_エンゲージメント向上PJT</v>
      </c>
      <c r="F5" s="43" t="s">
        <v>358</v>
      </c>
      <c r="G5" s="43" t="s">
        <v>359</v>
      </c>
      <c r="H5" s="44" t="s">
        <v>191</v>
      </c>
      <c r="I5" s="44">
        <v>550</v>
      </c>
      <c r="J5" s="13">
        <f t="shared" ref="J5:J33" si="0">SUM(N5:Y5)</f>
        <v>550</v>
      </c>
      <c r="K5" s="13">
        <f>I5-J5</f>
        <v>0</v>
      </c>
      <c r="L5" s="43">
        <v>1</v>
      </c>
      <c r="M5" s="13">
        <f t="shared" ref="M5:M37" si="1">IFERROR(I5/L5,"-")</f>
        <v>550</v>
      </c>
      <c r="N5" s="44">
        <v>550</v>
      </c>
      <c r="O5" s="44"/>
      <c r="P5" s="44"/>
      <c r="Q5" s="44"/>
      <c r="R5" s="44"/>
      <c r="S5" s="44"/>
      <c r="T5" s="44"/>
      <c r="U5" s="44"/>
      <c r="V5" s="44"/>
      <c r="W5" s="44"/>
      <c r="X5" s="44"/>
      <c r="Y5" s="44"/>
      <c r="Z5" s="37" t="s">
        <v>355</v>
      </c>
    </row>
    <row r="6" spans="1:26">
      <c r="B6" s="43">
        <f t="shared" ref="B6:B33" si="2">ROW(A6)-4</f>
        <v>2</v>
      </c>
      <c r="C6" s="43" t="s">
        <v>360</v>
      </c>
      <c r="D6" s="43" t="s">
        <v>361</v>
      </c>
      <c r="E6" s="43" t="str">
        <f t="shared" ref="E6:E13" si="3">"0"&amp;B6&amp;"_"&amp;C6&amp;"_"&amp;D6</f>
        <v>02_パラドックス_森の歩き方実装支援</v>
      </c>
      <c r="F6" s="43" t="s">
        <v>362</v>
      </c>
      <c r="G6" s="43" t="s">
        <v>359</v>
      </c>
      <c r="H6" s="44" t="s">
        <v>191</v>
      </c>
      <c r="I6" s="44">
        <v>300</v>
      </c>
      <c r="J6" s="13">
        <f t="shared" si="0"/>
        <v>300</v>
      </c>
      <c r="K6" s="13">
        <f>I6-J6</f>
        <v>0</v>
      </c>
      <c r="L6" s="43">
        <v>1</v>
      </c>
      <c r="M6" s="13">
        <f t="shared" si="1"/>
        <v>300</v>
      </c>
      <c r="N6" s="44">
        <v>300</v>
      </c>
      <c r="O6" s="44"/>
      <c r="P6" s="44"/>
      <c r="Q6" s="44"/>
      <c r="R6" s="44"/>
      <c r="S6" s="44"/>
      <c r="T6" s="44"/>
      <c r="U6" s="44"/>
      <c r="V6" s="44"/>
      <c r="W6" s="44"/>
      <c r="X6" s="44"/>
      <c r="Y6" s="44"/>
      <c r="Z6" s="37" t="s">
        <v>355</v>
      </c>
    </row>
    <row r="7" spans="1:26">
      <c r="B7" s="43">
        <f t="shared" si="2"/>
        <v>3</v>
      </c>
      <c r="C7" s="43" t="s">
        <v>363</v>
      </c>
      <c r="D7" s="43" t="s">
        <v>364</v>
      </c>
      <c r="E7" s="43" t="str">
        <f t="shared" si="3"/>
        <v>03_日本総研_キャリア入社者課題分析</v>
      </c>
      <c r="F7" s="43" t="s">
        <v>362</v>
      </c>
      <c r="G7" s="43" t="s">
        <v>359</v>
      </c>
      <c r="H7" s="44" t="s">
        <v>191</v>
      </c>
      <c r="I7" s="44">
        <v>600</v>
      </c>
      <c r="J7" s="13">
        <f t="shared" si="0"/>
        <v>600</v>
      </c>
      <c r="K7" s="13">
        <f t="shared" ref="K7:K33" si="4">I7-J7</f>
        <v>0</v>
      </c>
      <c r="L7" s="43">
        <v>1</v>
      </c>
      <c r="M7" s="13">
        <f t="shared" si="1"/>
        <v>600</v>
      </c>
      <c r="N7" s="44">
        <v>600</v>
      </c>
      <c r="O7" s="44"/>
      <c r="P7" s="44"/>
      <c r="Q7" s="44"/>
      <c r="R7" s="44"/>
      <c r="S7" s="44"/>
      <c r="T7" s="44"/>
      <c r="U7" s="44"/>
      <c r="V7" s="44"/>
      <c r="W7" s="44"/>
      <c r="X7" s="44"/>
      <c r="Y7" s="44"/>
      <c r="Z7" s="37" t="s">
        <v>355</v>
      </c>
    </row>
    <row r="8" spans="1:26">
      <c r="B8" s="43">
        <f t="shared" si="2"/>
        <v>4</v>
      </c>
      <c r="C8" s="43" t="s">
        <v>365</v>
      </c>
      <c r="D8" s="43" t="s">
        <v>366</v>
      </c>
      <c r="E8" s="43" t="str">
        <f t="shared" si="3"/>
        <v>04_田島ルーフィング_推せる職場診断</v>
      </c>
      <c r="F8" s="43" t="s">
        <v>358</v>
      </c>
      <c r="G8" s="43" t="s">
        <v>244</v>
      </c>
      <c r="H8" s="44" t="s">
        <v>191</v>
      </c>
      <c r="I8" s="44"/>
      <c r="J8" s="13">
        <f t="shared" si="0"/>
        <v>0</v>
      </c>
      <c r="K8" s="13">
        <f t="shared" si="4"/>
        <v>0</v>
      </c>
      <c r="L8" s="43"/>
      <c r="M8" s="13" t="str">
        <f t="shared" si="1"/>
        <v>-</v>
      </c>
      <c r="N8" s="44"/>
      <c r="O8" s="44"/>
      <c r="P8" s="44"/>
      <c r="Q8" s="44"/>
      <c r="R8" s="44"/>
      <c r="S8" s="44"/>
      <c r="T8" s="44"/>
      <c r="U8" s="44"/>
      <c r="V8" s="44"/>
      <c r="W8" s="44"/>
      <c r="X8" s="44"/>
      <c r="Y8" s="44"/>
      <c r="Z8" s="37" t="s">
        <v>355</v>
      </c>
    </row>
    <row r="9" spans="1:26">
      <c r="B9" s="43">
        <f t="shared" si="2"/>
        <v>5</v>
      </c>
      <c r="C9" s="43" t="s">
        <v>308</v>
      </c>
      <c r="D9" s="43" t="s">
        <v>367</v>
      </c>
      <c r="E9" s="43" t="str">
        <f t="shared" si="3"/>
        <v>05_YAMAGATA_新事業立ち上げ支援</v>
      </c>
      <c r="F9" s="43" t="s">
        <v>368</v>
      </c>
      <c r="G9" s="43" t="s">
        <v>275</v>
      </c>
      <c r="H9" s="44" t="s">
        <v>271</v>
      </c>
      <c r="I9" s="44">
        <v>14500</v>
      </c>
      <c r="J9" s="13">
        <f t="shared" si="0"/>
        <v>14500</v>
      </c>
      <c r="K9" s="13">
        <f t="shared" si="4"/>
        <v>0</v>
      </c>
      <c r="L9" s="43">
        <v>4</v>
      </c>
      <c r="M9" s="13">
        <f t="shared" si="1"/>
        <v>3625</v>
      </c>
      <c r="N9" s="44">
        <v>3700</v>
      </c>
      <c r="O9" s="44">
        <v>3600</v>
      </c>
      <c r="P9" s="44">
        <v>3600</v>
      </c>
      <c r="Q9" s="44">
        <v>3600</v>
      </c>
      <c r="R9" s="44"/>
      <c r="S9" s="44"/>
      <c r="T9" s="44"/>
      <c r="U9" s="44"/>
      <c r="V9" s="44"/>
      <c r="W9" s="44"/>
      <c r="X9" s="44"/>
      <c r="Y9" s="44"/>
      <c r="Z9" s="37" t="s">
        <v>355</v>
      </c>
    </row>
    <row r="10" spans="1:26">
      <c r="B10" s="43">
        <f t="shared" si="2"/>
        <v>6</v>
      </c>
      <c r="C10" s="43" t="s">
        <v>369</v>
      </c>
      <c r="D10" s="43" t="s">
        <v>370</v>
      </c>
      <c r="E10" s="43" t="str">
        <f t="shared" si="3"/>
        <v>06_豊田通商_人事KPI</v>
      </c>
      <c r="F10" s="43" t="s">
        <v>368</v>
      </c>
      <c r="G10" s="43" t="s">
        <v>371</v>
      </c>
      <c r="H10" s="44" t="s">
        <v>333</v>
      </c>
      <c r="I10" s="44">
        <v>6000</v>
      </c>
      <c r="J10" s="13">
        <f t="shared" si="0"/>
        <v>6000</v>
      </c>
      <c r="K10" s="13">
        <f t="shared" si="4"/>
        <v>0</v>
      </c>
      <c r="L10" s="43">
        <v>3</v>
      </c>
      <c r="M10" s="13">
        <f t="shared" si="1"/>
        <v>2000</v>
      </c>
      <c r="N10" s="44">
        <v>2000</v>
      </c>
      <c r="O10" s="44">
        <v>2000</v>
      </c>
      <c r="P10" s="44">
        <v>2000</v>
      </c>
      <c r="Q10" s="44"/>
      <c r="R10" s="44"/>
      <c r="S10" s="44"/>
      <c r="T10" s="44"/>
      <c r="U10" s="44"/>
      <c r="V10" s="44"/>
      <c r="W10" s="44"/>
      <c r="X10" s="44"/>
      <c r="Y10" s="44"/>
      <c r="Z10" s="37" t="s">
        <v>355</v>
      </c>
    </row>
    <row r="11" spans="1:26">
      <c r="B11" s="43">
        <f t="shared" si="2"/>
        <v>7</v>
      </c>
      <c r="C11" s="43" t="s">
        <v>369</v>
      </c>
      <c r="D11" s="43" t="s">
        <v>372</v>
      </c>
      <c r="E11" s="43" t="str">
        <f t="shared" si="3"/>
        <v>07_豊田通商_メタルプラス</v>
      </c>
      <c r="F11" s="43" t="s">
        <v>368</v>
      </c>
      <c r="G11" s="43" t="s">
        <v>275</v>
      </c>
      <c r="H11" s="44" t="s">
        <v>333</v>
      </c>
      <c r="I11" s="44">
        <v>6750</v>
      </c>
      <c r="J11" s="13">
        <f t="shared" si="0"/>
        <v>6750</v>
      </c>
      <c r="K11" s="13">
        <f t="shared" si="4"/>
        <v>0</v>
      </c>
      <c r="L11" s="43">
        <v>3</v>
      </c>
      <c r="M11" s="13">
        <f t="shared" si="1"/>
        <v>2250</v>
      </c>
      <c r="N11" s="44"/>
      <c r="O11" s="44"/>
      <c r="P11" s="44">
        <v>2250</v>
      </c>
      <c r="Q11" s="44">
        <v>2250</v>
      </c>
      <c r="R11" s="44">
        <v>2250</v>
      </c>
      <c r="S11" s="44"/>
      <c r="T11" s="44"/>
      <c r="U11" s="44"/>
      <c r="V11" s="44"/>
      <c r="W11" s="44"/>
      <c r="X11" s="44"/>
      <c r="Y11" s="44"/>
      <c r="Z11" s="37" t="s">
        <v>355</v>
      </c>
    </row>
    <row r="12" spans="1:26">
      <c r="B12" s="43">
        <f t="shared" si="2"/>
        <v>8</v>
      </c>
      <c r="C12" s="43" t="s">
        <v>373</v>
      </c>
      <c r="D12" s="43" t="s">
        <v>374</v>
      </c>
      <c r="E12" s="43" t="str">
        <f t="shared" si="3"/>
        <v>08_OKI_人材面を主とした組織診断</v>
      </c>
      <c r="F12" s="43" t="s">
        <v>368</v>
      </c>
      <c r="G12" s="43" t="s">
        <v>359</v>
      </c>
      <c r="H12" s="44" t="s">
        <v>187</v>
      </c>
      <c r="I12" s="44">
        <v>4000</v>
      </c>
      <c r="J12" s="13">
        <f t="shared" si="0"/>
        <v>4000</v>
      </c>
      <c r="K12" s="36">
        <f t="shared" si="4"/>
        <v>0</v>
      </c>
      <c r="L12" s="43">
        <v>3.5</v>
      </c>
      <c r="M12" s="13">
        <f t="shared" si="1"/>
        <v>1142.8571428571429</v>
      </c>
      <c r="N12" s="44">
        <v>2000</v>
      </c>
      <c r="O12" s="44">
        <v>2000</v>
      </c>
      <c r="P12" s="44"/>
      <c r="Q12" s="44"/>
      <c r="R12" s="44"/>
      <c r="S12" s="44"/>
      <c r="T12" s="44"/>
      <c r="U12" s="44"/>
      <c r="V12" s="44"/>
      <c r="W12" s="44"/>
      <c r="X12" s="44"/>
      <c r="Y12" s="44"/>
      <c r="Z12" s="37" t="s">
        <v>355</v>
      </c>
    </row>
    <row r="13" spans="1:26">
      <c r="B13" s="43">
        <f t="shared" si="2"/>
        <v>9</v>
      </c>
      <c r="C13" s="43" t="s">
        <v>375</v>
      </c>
      <c r="D13" s="43" t="s">
        <v>376</v>
      </c>
      <c r="E13" s="43" t="str">
        <f t="shared" si="3"/>
        <v>09_宮﨑製鋼_エンゲージメントサーベイ</v>
      </c>
      <c r="F13" s="43" t="s">
        <v>368</v>
      </c>
      <c r="G13" s="43" t="s">
        <v>359</v>
      </c>
      <c r="H13" s="44" t="s">
        <v>187</v>
      </c>
      <c r="I13" s="44">
        <v>500</v>
      </c>
      <c r="J13" s="13">
        <f t="shared" si="0"/>
        <v>500</v>
      </c>
      <c r="K13" s="36">
        <f t="shared" si="4"/>
        <v>0</v>
      </c>
      <c r="L13" s="43">
        <v>3</v>
      </c>
      <c r="M13" s="13">
        <f t="shared" si="1"/>
        <v>166.66666666666666</v>
      </c>
      <c r="N13" s="44">
        <v>140</v>
      </c>
      <c r="O13" s="44">
        <v>360</v>
      </c>
      <c r="P13" s="44"/>
      <c r="Q13" s="44"/>
      <c r="R13" s="44"/>
      <c r="S13" s="44"/>
      <c r="T13" s="44"/>
      <c r="U13" s="44"/>
      <c r="V13" s="44"/>
      <c r="W13" s="44"/>
      <c r="X13" s="44"/>
      <c r="Y13" s="44"/>
      <c r="Z13" s="37" t="s">
        <v>355</v>
      </c>
    </row>
    <row r="14" spans="1:26">
      <c r="B14" s="43">
        <f t="shared" si="2"/>
        <v>10</v>
      </c>
      <c r="C14" s="43" t="s">
        <v>182</v>
      </c>
      <c r="D14" s="43" t="s">
        <v>377</v>
      </c>
      <c r="E14" s="43" t="str">
        <f>B14&amp;"_"&amp;C14&amp;"_"&amp;D14</f>
        <v>10_オムロンエキスパートエンジニアリング_データ分析</v>
      </c>
      <c r="F14" s="43" t="s">
        <v>368</v>
      </c>
      <c r="G14" s="43" t="s">
        <v>222</v>
      </c>
      <c r="H14" s="44" t="s">
        <v>187</v>
      </c>
      <c r="I14" s="44">
        <v>2000</v>
      </c>
      <c r="J14" s="13">
        <f t="shared" si="0"/>
        <v>2000</v>
      </c>
      <c r="K14" s="13">
        <f t="shared" si="4"/>
        <v>0</v>
      </c>
      <c r="L14" s="43">
        <v>3</v>
      </c>
      <c r="M14" s="13">
        <f t="shared" si="1"/>
        <v>666.66666666666663</v>
      </c>
      <c r="N14" s="44"/>
      <c r="O14" s="44">
        <v>500</v>
      </c>
      <c r="P14" s="44">
        <v>500</v>
      </c>
      <c r="Q14" s="44">
        <v>1000</v>
      </c>
      <c r="R14" s="44"/>
      <c r="S14" s="44"/>
      <c r="T14" s="44"/>
      <c r="U14" s="44"/>
      <c r="V14" s="44"/>
      <c r="W14" s="44"/>
      <c r="X14" s="44"/>
      <c r="Y14" s="44"/>
      <c r="Z14" s="37" t="s">
        <v>355</v>
      </c>
    </row>
    <row r="15" spans="1:26">
      <c r="B15" s="43">
        <f t="shared" si="2"/>
        <v>11</v>
      </c>
      <c r="C15" s="43" t="s">
        <v>378</v>
      </c>
      <c r="D15" s="43" t="s">
        <v>376</v>
      </c>
      <c r="E15" s="43" t="str">
        <f t="shared" ref="E15:E77" si="5">B15&amp;"_"&amp;C15&amp;"_"&amp;D15</f>
        <v>11_MSプライマリー_エンゲージメントサーベイ</v>
      </c>
      <c r="F15" s="43" t="s">
        <v>368</v>
      </c>
      <c r="G15" s="43" t="s">
        <v>222</v>
      </c>
      <c r="H15" s="44" t="s">
        <v>187</v>
      </c>
      <c r="I15" s="44">
        <v>7000</v>
      </c>
      <c r="J15" s="13">
        <f t="shared" si="0"/>
        <v>7000</v>
      </c>
      <c r="K15" s="13">
        <f t="shared" si="4"/>
        <v>0</v>
      </c>
      <c r="L15" s="43">
        <v>4</v>
      </c>
      <c r="M15" s="13">
        <f t="shared" si="1"/>
        <v>1750</v>
      </c>
      <c r="N15" s="44">
        <v>2000</v>
      </c>
      <c r="O15" s="44">
        <v>1500</v>
      </c>
      <c r="P15" s="44">
        <v>1500</v>
      </c>
      <c r="Q15" s="44">
        <v>2000</v>
      </c>
      <c r="R15" s="44"/>
      <c r="S15" s="44"/>
      <c r="T15" s="44"/>
      <c r="U15" s="44"/>
      <c r="V15" s="44"/>
      <c r="W15" s="44"/>
      <c r="X15" s="44"/>
      <c r="Y15" s="44"/>
      <c r="Z15" s="37" t="s">
        <v>355</v>
      </c>
    </row>
    <row r="16" spans="1:26">
      <c r="B16" s="43">
        <f t="shared" si="2"/>
        <v>12</v>
      </c>
      <c r="C16" s="43" t="s">
        <v>379</v>
      </c>
      <c r="D16" s="43" t="s">
        <v>380</v>
      </c>
      <c r="E16" s="43" t="str">
        <f t="shared" si="5"/>
        <v>12_アートプレスト_2025年上期人事施策実行支援</v>
      </c>
      <c r="F16" s="43" t="s">
        <v>368</v>
      </c>
      <c r="G16" s="43" t="s">
        <v>359</v>
      </c>
      <c r="H16" s="44" t="s">
        <v>381</v>
      </c>
      <c r="I16" s="44">
        <v>6700</v>
      </c>
      <c r="J16" s="13">
        <f t="shared" si="0"/>
        <v>6700</v>
      </c>
      <c r="K16" s="13">
        <f t="shared" si="4"/>
        <v>0</v>
      </c>
      <c r="L16" s="43">
        <v>1</v>
      </c>
      <c r="M16" s="13">
        <f t="shared" si="1"/>
        <v>6700</v>
      </c>
      <c r="N16" s="44">
        <v>6700</v>
      </c>
      <c r="O16" s="44"/>
      <c r="P16" s="44"/>
      <c r="Q16" s="44"/>
      <c r="R16" s="44"/>
      <c r="S16" s="44"/>
      <c r="T16" s="44"/>
      <c r="U16" s="44"/>
      <c r="V16" s="44"/>
      <c r="W16" s="44"/>
      <c r="X16" s="44"/>
      <c r="Y16" s="44"/>
      <c r="Z16" s="37" t="s">
        <v>355</v>
      </c>
    </row>
    <row r="17" spans="2:26">
      <c r="B17" s="43">
        <f t="shared" si="2"/>
        <v>13</v>
      </c>
      <c r="C17" s="43" t="s">
        <v>379</v>
      </c>
      <c r="D17" s="43" t="s">
        <v>382</v>
      </c>
      <c r="E17" s="43" t="str">
        <f t="shared" si="5"/>
        <v>13_アートプレスト_2025年下期人事施策実行支援</v>
      </c>
      <c r="F17" s="43" t="s">
        <v>383</v>
      </c>
      <c r="G17" s="43" t="s">
        <v>359</v>
      </c>
      <c r="H17" s="44" t="s">
        <v>381</v>
      </c>
      <c r="I17" s="44">
        <v>37900</v>
      </c>
      <c r="J17" s="13">
        <f t="shared" si="0"/>
        <v>37900</v>
      </c>
      <c r="K17" s="13">
        <f t="shared" si="4"/>
        <v>0</v>
      </c>
      <c r="L17" s="43">
        <v>6</v>
      </c>
      <c r="M17" s="13">
        <f t="shared" si="1"/>
        <v>6316.666666666667</v>
      </c>
      <c r="N17" s="44"/>
      <c r="O17" s="44">
        <v>8000</v>
      </c>
      <c r="P17" s="44">
        <v>7800</v>
      </c>
      <c r="Q17" s="44">
        <v>5100</v>
      </c>
      <c r="R17" s="44">
        <v>6100</v>
      </c>
      <c r="S17" s="44">
        <v>6200</v>
      </c>
      <c r="T17" s="44">
        <v>4700</v>
      </c>
      <c r="U17" s="44"/>
      <c r="V17" s="44"/>
      <c r="W17" s="44"/>
      <c r="X17" s="44"/>
      <c r="Y17" s="44"/>
      <c r="Z17" s="37" t="s">
        <v>355</v>
      </c>
    </row>
    <row r="18" spans="2:26">
      <c r="B18" s="43">
        <f t="shared" si="2"/>
        <v>14</v>
      </c>
      <c r="C18" s="43" t="s">
        <v>379</v>
      </c>
      <c r="D18" s="43" t="s">
        <v>384</v>
      </c>
      <c r="E18" s="43" t="str">
        <f t="shared" si="5"/>
        <v>14_アートプレスト_経営層候補者向け研修実行支援</v>
      </c>
      <c r="F18" s="43" t="s">
        <v>385</v>
      </c>
      <c r="G18" s="43" t="s">
        <v>359</v>
      </c>
      <c r="H18" s="44" t="s">
        <v>381</v>
      </c>
      <c r="I18" s="44">
        <v>250</v>
      </c>
      <c r="J18" s="13">
        <f t="shared" si="0"/>
        <v>250</v>
      </c>
      <c r="K18" s="13">
        <f t="shared" si="4"/>
        <v>0</v>
      </c>
      <c r="L18" s="43">
        <v>1</v>
      </c>
      <c r="M18" s="13">
        <f t="shared" si="1"/>
        <v>250</v>
      </c>
      <c r="N18" s="44"/>
      <c r="O18" s="44"/>
      <c r="P18" s="44">
        <v>250</v>
      </c>
      <c r="Q18" s="44"/>
      <c r="R18" s="44"/>
      <c r="S18" s="44"/>
      <c r="T18" s="44"/>
      <c r="U18" s="44"/>
      <c r="V18" s="44"/>
      <c r="W18" s="44"/>
      <c r="X18" s="44"/>
      <c r="Y18" s="44"/>
      <c r="Z18" s="37" t="s">
        <v>355</v>
      </c>
    </row>
    <row r="19" spans="2:26">
      <c r="B19" s="43">
        <f t="shared" si="2"/>
        <v>15</v>
      </c>
      <c r="C19" s="43" t="s">
        <v>379</v>
      </c>
      <c r="D19" s="43" t="s">
        <v>386</v>
      </c>
      <c r="E19" s="43" t="str">
        <f t="shared" si="5"/>
        <v>15_アートプレスト_役員研修</v>
      </c>
      <c r="F19" s="43" t="s">
        <v>385</v>
      </c>
      <c r="G19" s="43" t="s">
        <v>359</v>
      </c>
      <c r="H19" s="44" t="s">
        <v>381</v>
      </c>
      <c r="I19" s="44">
        <v>100</v>
      </c>
      <c r="J19" s="13">
        <f t="shared" si="0"/>
        <v>100</v>
      </c>
      <c r="K19" s="13">
        <f t="shared" si="4"/>
        <v>0</v>
      </c>
      <c r="L19" s="43">
        <v>1</v>
      </c>
      <c r="M19" s="13">
        <f t="shared" si="1"/>
        <v>100</v>
      </c>
      <c r="N19" s="44"/>
      <c r="O19" s="44">
        <v>100</v>
      </c>
      <c r="P19" s="44"/>
      <c r="Q19" s="44"/>
      <c r="R19" s="44"/>
      <c r="S19" s="44"/>
      <c r="T19" s="44"/>
      <c r="U19" s="44"/>
      <c r="V19" s="44"/>
      <c r="W19" s="44"/>
      <c r="X19" s="44"/>
      <c r="Y19" s="44"/>
      <c r="Z19" s="37" t="s">
        <v>355</v>
      </c>
    </row>
    <row r="20" spans="2:26">
      <c r="B20" s="43">
        <f t="shared" si="2"/>
        <v>16</v>
      </c>
      <c r="C20" s="43" t="s">
        <v>387</v>
      </c>
      <c r="D20" s="43" t="s">
        <v>388</v>
      </c>
      <c r="E20" s="43" t="str">
        <f t="shared" si="5"/>
        <v>16_JALUX_ビジネス変革Community</v>
      </c>
      <c r="F20" s="43" t="s">
        <v>368</v>
      </c>
      <c r="G20" s="43" t="s">
        <v>359</v>
      </c>
      <c r="H20" s="44" t="s">
        <v>203</v>
      </c>
      <c r="I20" s="44">
        <v>750</v>
      </c>
      <c r="J20" s="13">
        <f t="shared" si="0"/>
        <v>750</v>
      </c>
      <c r="K20" s="13">
        <f t="shared" si="4"/>
        <v>0</v>
      </c>
      <c r="L20" s="43">
        <v>1</v>
      </c>
      <c r="M20" s="13">
        <f t="shared" si="1"/>
        <v>750</v>
      </c>
      <c r="N20" s="44"/>
      <c r="O20" s="44">
        <v>750</v>
      </c>
      <c r="P20" s="44"/>
      <c r="Q20" s="44"/>
      <c r="R20" s="44"/>
      <c r="S20" s="44"/>
      <c r="T20" s="44"/>
      <c r="U20" s="44"/>
      <c r="V20" s="44"/>
      <c r="W20" s="44"/>
      <c r="X20" s="44"/>
      <c r="Y20" s="44"/>
      <c r="Z20" s="37" t="s">
        <v>355</v>
      </c>
    </row>
    <row r="21" spans="2:26">
      <c r="B21" s="43">
        <f t="shared" si="2"/>
        <v>17</v>
      </c>
      <c r="C21" s="43" t="s">
        <v>387</v>
      </c>
      <c r="D21" s="43" t="s">
        <v>389</v>
      </c>
      <c r="E21" s="43" t="str">
        <f t="shared" si="5"/>
        <v>17_JALUX_業務効率化</v>
      </c>
      <c r="F21" s="43" t="s">
        <v>368</v>
      </c>
      <c r="G21" s="43" t="s">
        <v>275</v>
      </c>
      <c r="H21" s="44" t="s">
        <v>203</v>
      </c>
      <c r="I21" s="44">
        <v>920</v>
      </c>
      <c r="J21" s="13">
        <f t="shared" si="0"/>
        <v>920</v>
      </c>
      <c r="K21" s="13">
        <f t="shared" si="4"/>
        <v>0</v>
      </c>
      <c r="L21" s="43">
        <v>2</v>
      </c>
      <c r="M21" s="13">
        <f t="shared" si="1"/>
        <v>460</v>
      </c>
      <c r="N21" s="44">
        <v>480</v>
      </c>
      <c r="O21" s="44">
        <v>440</v>
      </c>
      <c r="P21" s="44"/>
      <c r="Q21" s="44"/>
      <c r="R21" s="44"/>
      <c r="S21" s="44"/>
      <c r="T21" s="44"/>
      <c r="U21" s="44"/>
      <c r="V21" s="44"/>
      <c r="W21" s="44"/>
      <c r="X21" s="44"/>
      <c r="Y21" s="44"/>
      <c r="Z21" s="37" t="s">
        <v>355</v>
      </c>
    </row>
    <row r="22" spans="2:26">
      <c r="B22" s="43">
        <f t="shared" si="2"/>
        <v>18</v>
      </c>
      <c r="C22" s="43" t="s">
        <v>329</v>
      </c>
      <c r="D22" s="43" t="s">
        <v>390</v>
      </c>
      <c r="E22" s="43" t="str">
        <f>B22&amp;"_"&amp;C22&amp;"_"&amp;D22</f>
        <v>18_パラマウントベッド_管理職WS＆部門幹部ディスカッション</v>
      </c>
      <c r="F22" s="43" t="s">
        <v>368</v>
      </c>
      <c r="G22" s="43" t="s">
        <v>275</v>
      </c>
      <c r="H22" s="44" t="s">
        <v>271</v>
      </c>
      <c r="I22" s="56">
        <v>4470</v>
      </c>
      <c r="J22" s="13">
        <f t="shared" si="0"/>
        <v>2681</v>
      </c>
      <c r="K22" s="55">
        <f t="shared" si="4"/>
        <v>1789</v>
      </c>
      <c r="L22" s="43">
        <v>4</v>
      </c>
      <c r="M22" s="13">
        <f t="shared" si="1"/>
        <v>1117.5</v>
      </c>
      <c r="N22" s="44"/>
      <c r="O22" s="44">
        <v>1881</v>
      </c>
      <c r="P22" s="44"/>
      <c r="Q22" s="44">
        <v>800</v>
      </c>
      <c r="R22" s="44"/>
      <c r="S22" s="44"/>
      <c r="T22" s="44"/>
      <c r="U22" s="44"/>
      <c r="V22" s="44"/>
      <c r="W22" s="44"/>
      <c r="X22" s="44"/>
      <c r="Y22" s="44"/>
      <c r="Z22" s="37" t="s">
        <v>355</v>
      </c>
    </row>
    <row r="23" spans="2:26">
      <c r="B23" s="43">
        <f t="shared" si="2"/>
        <v>19</v>
      </c>
      <c r="C23" s="43" t="s">
        <v>305</v>
      </c>
      <c r="D23" s="43" t="s">
        <v>391</v>
      </c>
      <c r="E23" s="43" t="str">
        <f t="shared" si="5"/>
        <v>19_asics_HRBP支援</v>
      </c>
      <c r="F23" s="43" t="s">
        <v>392</v>
      </c>
      <c r="G23" s="43" t="s">
        <v>359</v>
      </c>
      <c r="H23" s="44" t="s">
        <v>203</v>
      </c>
      <c r="I23" s="44">
        <v>400</v>
      </c>
      <c r="J23" s="13">
        <f t="shared" si="0"/>
        <v>400</v>
      </c>
      <c r="K23" s="13">
        <f t="shared" si="4"/>
        <v>0</v>
      </c>
      <c r="L23" s="43">
        <v>1</v>
      </c>
      <c r="M23" s="13">
        <f t="shared" si="1"/>
        <v>400</v>
      </c>
      <c r="N23" s="44">
        <v>400</v>
      </c>
      <c r="O23" s="44"/>
      <c r="P23" s="44"/>
      <c r="Q23" s="44"/>
      <c r="R23" s="44"/>
      <c r="S23" s="44"/>
      <c r="T23" s="44"/>
      <c r="U23" s="44"/>
      <c r="V23" s="44"/>
      <c r="W23" s="44"/>
      <c r="X23" s="44"/>
      <c r="Y23" s="44"/>
      <c r="Z23" s="37" t="s">
        <v>355</v>
      </c>
    </row>
    <row r="24" spans="2:26">
      <c r="B24" s="43">
        <f t="shared" si="2"/>
        <v>20</v>
      </c>
      <c r="C24" s="43" t="s">
        <v>127</v>
      </c>
      <c r="D24" s="43" t="s">
        <v>393</v>
      </c>
      <c r="E24" s="43" t="str">
        <f t="shared" si="5"/>
        <v>20_コメダ_FC対応力向上</v>
      </c>
      <c r="F24" s="43" t="s">
        <v>385</v>
      </c>
      <c r="G24" s="43" t="s">
        <v>359</v>
      </c>
      <c r="H24" s="44" t="s">
        <v>203</v>
      </c>
      <c r="I24" s="44">
        <v>2000</v>
      </c>
      <c r="J24" s="13">
        <f t="shared" si="0"/>
        <v>2000</v>
      </c>
      <c r="K24" s="13">
        <f t="shared" si="4"/>
        <v>0</v>
      </c>
      <c r="L24" s="43">
        <v>3</v>
      </c>
      <c r="M24" s="13">
        <f t="shared" si="1"/>
        <v>666.66666666666663</v>
      </c>
      <c r="N24" s="44">
        <v>600</v>
      </c>
      <c r="O24" s="44">
        <v>600</v>
      </c>
      <c r="P24" s="44">
        <v>800</v>
      </c>
      <c r="Q24" s="44"/>
      <c r="R24" s="44"/>
      <c r="S24" s="44"/>
      <c r="T24" s="44"/>
      <c r="U24" s="44"/>
      <c r="V24" s="44"/>
      <c r="W24" s="44"/>
      <c r="X24" s="44"/>
      <c r="Y24" s="44"/>
      <c r="Z24" s="37" t="s">
        <v>355</v>
      </c>
    </row>
    <row r="25" spans="2:26">
      <c r="B25" s="43">
        <f t="shared" si="2"/>
        <v>21</v>
      </c>
      <c r="C25" s="43" t="s">
        <v>394</v>
      </c>
      <c r="D25" s="43" t="s">
        <v>395</v>
      </c>
      <c r="E25" s="43" t="str">
        <f t="shared" si="5"/>
        <v>21_ローソンエンタテインメント_人事制度・育成概要設計</v>
      </c>
      <c r="F25" s="43" t="s">
        <v>368</v>
      </c>
      <c r="G25" s="43" t="s">
        <v>275</v>
      </c>
      <c r="H25" s="44" t="s">
        <v>396</v>
      </c>
      <c r="I25" s="44">
        <v>12300</v>
      </c>
      <c r="J25" s="13">
        <f t="shared" si="0"/>
        <v>12300</v>
      </c>
      <c r="K25" s="13">
        <f t="shared" si="4"/>
        <v>0</v>
      </c>
      <c r="L25" s="43">
        <v>6</v>
      </c>
      <c r="M25" s="13">
        <f t="shared" si="1"/>
        <v>2050</v>
      </c>
      <c r="N25" s="44">
        <v>2050</v>
      </c>
      <c r="O25" s="44">
        <v>2050</v>
      </c>
      <c r="P25" s="44">
        <v>2050</v>
      </c>
      <c r="Q25" s="44">
        <v>2050</v>
      </c>
      <c r="R25" s="44">
        <v>2050</v>
      </c>
      <c r="S25" s="44">
        <v>2050</v>
      </c>
      <c r="T25" s="44"/>
      <c r="U25" s="44"/>
      <c r="V25" s="44"/>
      <c r="W25" s="44"/>
      <c r="X25" s="44"/>
      <c r="Y25" s="44"/>
      <c r="Z25" s="37" t="s">
        <v>355</v>
      </c>
    </row>
    <row r="26" spans="2:26">
      <c r="B26" s="43">
        <f t="shared" si="2"/>
        <v>22</v>
      </c>
      <c r="C26" s="43" t="s">
        <v>172</v>
      </c>
      <c r="D26" s="43" t="s">
        <v>397</v>
      </c>
      <c r="E26" s="43" t="str">
        <f t="shared" si="5"/>
        <v>22_オーネスト_MVV浸透支援Phase3</v>
      </c>
      <c r="F26" s="43" t="s">
        <v>392</v>
      </c>
      <c r="G26" s="43" t="s">
        <v>275</v>
      </c>
      <c r="H26" s="44" t="s">
        <v>203</v>
      </c>
      <c r="I26" s="44">
        <v>1300</v>
      </c>
      <c r="J26" s="13">
        <f t="shared" si="0"/>
        <v>1300</v>
      </c>
      <c r="K26" s="13">
        <f t="shared" si="4"/>
        <v>0</v>
      </c>
      <c r="L26" s="43">
        <v>1</v>
      </c>
      <c r="M26" s="13">
        <f t="shared" si="1"/>
        <v>1300</v>
      </c>
      <c r="N26" s="44">
        <v>1300</v>
      </c>
      <c r="O26" s="44"/>
      <c r="P26" s="44"/>
      <c r="Q26" s="44"/>
      <c r="R26" s="44"/>
      <c r="S26" s="44"/>
      <c r="T26" s="44"/>
      <c r="U26" s="44"/>
      <c r="V26" s="44"/>
      <c r="W26" s="44"/>
      <c r="X26" s="44"/>
      <c r="Y26" s="44"/>
      <c r="Z26" s="37" t="s">
        <v>355</v>
      </c>
    </row>
    <row r="27" spans="2:26">
      <c r="B27" s="43">
        <f t="shared" si="2"/>
        <v>23</v>
      </c>
      <c r="C27" s="43" t="s">
        <v>139</v>
      </c>
      <c r="D27" s="43" t="s">
        <v>398</v>
      </c>
      <c r="E27" s="43" t="str">
        <f t="shared" si="5"/>
        <v>23_BeeX_Aプロジェクト</v>
      </c>
      <c r="F27" s="43" t="s">
        <v>362</v>
      </c>
      <c r="G27" s="43" t="s">
        <v>296</v>
      </c>
      <c r="H27" s="44" t="s">
        <v>191</v>
      </c>
      <c r="I27" s="44">
        <v>4500</v>
      </c>
      <c r="J27" s="13">
        <f t="shared" si="0"/>
        <v>4500</v>
      </c>
      <c r="K27" s="13">
        <f t="shared" si="4"/>
        <v>0</v>
      </c>
      <c r="L27" s="43">
        <v>3</v>
      </c>
      <c r="M27" s="13">
        <f t="shared" si="1"/>
        <v>1500</v>
      </c>
      <c r="N27" s="44"/>
      <c r="O27" s="44">
        <v>1500</v>
      </c>
      <c r="P27" s="44">
        <v>1500</v>
      </c>
      <c r="Q27" s="44">
        <v>1500</v>
      </c>
      <c r="R27" s="44"/>
      <c r="S27" s="44"/>
      <c r="T27" s="44"/>
      <c r="U27" s="44"/>
      <c r="V27" s="44"/>
      <c r="W27" s="44"/>
      <c r="X27" s="44"/>
      <c r="Y27" s="44"/>
      <c r="Z27" s="37" t="s">
        <v>355</v>
      </c>
    </row>
    <row r="28" spans="2:26">
      <c r="B28" s="43">
        <f t="shared" si="2"/>
        <v>24</v>
      </c>
      <c r="C28" s="43" t="s">
        <v>206</v>
      </c>
      <c r="D28" s="43" t="s">
        <v>399</v>
      </c>
      <c r="E28" s="43" t="str">
        <f t="shared" si="5"/>
        <v>24_ひらまつ_育成体系設計</v>
      </c>
      <c r="F28" s="43" t="s">
        <v>362</v>
      </c>
      <c r="G28" s="43" t="s">
        <v>222</v>
      </c>
      <c r="H28" s="44" t="s">
        <v>191</v>
      </c>
      <c r="I28" s="44">
        <v>3600</v>
      </c>
      <c r="J28" s="13">
        <f t="shared" si="0"/>
        <v>3600</v>
      </c>
      <c r="K28" s="13">
        <f t="shared" si="4"/>
        <v>0</v>
      </c>
      <c r="L28" s="43">
        <v>3</v>
      </c>
      <c r="M28" s="13">
        <f t="shared" si="1"/>
        <v>1200</v>
      </c>
      <c r="N28" s="44"/>
      <c r="O28" s="44"/>
      <c r="P28" s="44"/>
      <c r="Q28" s="44"/>
      <c r="R28" s="44">
        <v>1200</v>
      </c>
      <c r="S28" s="44">
        <v>1200</v>
      </c>
      <c r="T28" s="44">
        <v>1200</v>
      </c>
      <c r="U28" s="44"/>
      <c r="V28" s="44"/>
      <c r="W28" s="44"/>
      <c r="X28" s="44"/>
      <c r="Y28" s="44"/>
      <c r="Z28" s="37" t="s">
        <v>355</v>
      </c>
    </row>
    <row r="29" spans="2:26">
      <c r="B29" s="43">
        <f t="shared" si="2"/>
        <v>25</v>
      </c>
      <c r="C29" s="43" t="s">
        <v>329</v>
      </c>
      <c r="D29" s="43" t="s">
        <v>400</v>
      </c>
      <c r="E29" s="43" t="str">
        <f t="shared" si="5"/>
        <v>25_パラマウントベッド_女性社員交流会 企画支援</v>
      </c>
      <c r="F29" s="43" t="s">
        <v>368</v>
      </c>
      <c r="G29" s="43" t="s">
        <v>275</v>
      </c>
      <c r="H29" s="44" t="s">
        <v>271</v>
      </c>
      <c r="I29" s="44">
        <v>500</v>
      </c>
      <c r="J29" s="13">
        <f t="shared" si="0"/>
        <v>500</v>
      </c>
      <c r="K29" s="13">
        <f t="shared" si="4"/>
        <v>0</v>
      </c>
      <c r="L29" s="43">
        <v>1</v>
      </c>
      <c r="M29" s="13">
        <f t="shared" si="1"/>
        <v>500</v>
      </c>
      <c r="N29" s="44">
        <v>500</v>
      </c>
      <c r="O29" s="44"/>
      <c r="P29" s="44"/>
      <c r="Q29" s="44"/>
      <c r="R29" s="44"/>
      <c r="S29" s="44"/>
      <c r="T29" s="44"/>
      <c r="U29" s="44"/>
      <c r="V29" s="44"/>
      <c r="W29" s="44"/>
      <c r="X29" s="44"/>
      <c r="Y29" s="44"/>
      <c r="Z29" s="37" t="s">
        <v>355</v>
      </c>
    </row>
    <row r="30" spans="2:26">
      <c r="B30" s="43">
        <f t="shared" si="2"/>
        <v>26</v>
      </c>
      <c r="C30" s="43" t="s">
        <v>160</v>
      </c>
      <c r="D30" s="43" t="s">
        <v>401</v>
      </c>
      <c r="E30" s="43" t="str">
        <f t="shared" si="5"/>
        <v>26_西武HD_オンボーディング・OJT企画</v>
      </c>
      <c r="F30" s="43" t="s">
        <v>368</v>
      </c>
      <c r="G30" s="43" t="s">
        <v>296</v>
      </c>
      <c r="H30" s="44" t="s">
        <v>396</v>
      </c>
      <c r="I30" s="44">
        <v>2000</v>
      </c>
      <c r="J30" s="13">
        <f t="shared" si="0"/>
        <v>2000</v>
      </c>
      <c r="K30" s="13">
        <f t="shared" si="4"/>
        <v>0</v>
      </c>
      <c r="L30" s="43">
        <v>3</v>
      </c>
      <c r="M30" s="13">
        <f t="shared" si="1"/>
        <v>666.66666666666663</v>
      </c>
      <c r="N30" s="44"/>
      <c r="O30" s="44">
        <v>1000</v>
      </c>
      <c r="P30" s="44">
        <v>1000</v>
      </c>
      <c r="Q30" s="44"/>
      <c r="R30" s="44"/>
      <c r="S30" s="44"/>
      <c r="T30" s="44"/>
      <c r="U30" s="44"/>
      <c r="V30" s="44"/>
      <c r="W30" s="44"/>
      <c r="X30" s="44"/>
      <c r="Y30" s="44"/>
      <c r="Z30" s="37" t="s">
        <v>355</v>
      </c>
    </row>
    <row r="31" spans="2:26">
      <c r="B31" s="43">
        <f t="shared" si="2"/>
        <v>27</v>
      </c>
      <c r="C31" s="43" t="s">
        <v>116</v>
      </c>
      <c r="D31" s="43" t="s">
        <v>402</v>
      </c>
      <c r="E31" s="43" t="str">
        <f t="shared" si="5"/>
        <v>27_PHCホールディングス_オンボ・採用支援（中長期含）</v>
      </c>
      <c r="F31" s="43" t="s">
        <v>368</v>
      </c>
      <c r="G31" s="43" t="s">
        <v>163</v>
      </c>
      <c r="H31" s="44" t="s">
        <v>396</v>
      </c>
      <c r="I31" s="44">
        <v>6000</v>
      </c>
      <c r="J31" s="13">
        <f t="shared" si="0"/>
        <v>6000</v>
      </c>
      <c r="K31" s="13">
        <f t="shared" si="4"/>
        <v>0</v>
      </c>
      <c r="L31" s="43">
        <v>3</v>
      </c>
      <c r="M31" s="13">
        <f t="shared" si="1"/>
        <v>2000</v>
      </c>
      <c r="N31" s="44"/>
      <c r="O31" s="44">
        <v>2000</v>
      </c>
      <c r="P31" s="44">
        <v>2000</v>
      </c>
      <c r="Q31" s="44">
        <v>2000</v>
      </c>
      <c r="R31" s="44"/>
      <c r="S31" s="44"/>
      <c r="T31" s="44"/>
      <c r="U31" s="44"/>
      <c r="V31" s="44"/>
      <c r="W31" s="44"/>
      <c r="X31" s="44"/>
      <c r="Y31" s="44"/>
      <c r="Z31" s="37" t="s">
        <v>355</v>
      </c>
    </row>
    <row r="32" spans="2:26">
      <c r="B32" s="43">
        <f t="shared" si="2"/>
        <v>28</v>
      </c>
      <c r="C32" s="43" t="s">
        <v>155</v>
      </c>
      <c r="D32" s="43" t="s">
        <v>403</v>
      </c>
      <c r="E32" s="43" t="str">
        <f t="shared" si="5"/>
        <v>28_安田工業_人事戦略検討</v>
      </c>
      <c r="F32" s="43" t="s">
        <v>368</v>
      </c>
      <c r="G32" s="43" t="s">
        <v>144</v>
      </c>
      <c r="H32" s="44" t="s">
        <v>396</v>
      </c>
      <c r="I32" s="44">
        <v>12000</v>
      </c>
      <c r="J32" s="13">
        <f t="shared" si="0"/>
        <v>12000</v>
      </c>
      <c r="K32" s="13">
        <f t="shared" si="4"/>
        <v>0</v>
      </c>
      <c r="L32" s="43">
        <v>6</v>
      </c>
      <c r="M32" s="13">
        <f t="shared" si="1"/>
        <v>2000</v>
      </c>
      <c r="N32" s="44"/>
      <c r="O32" s="44">
        <v>2000</v>
      </c>
      <c r="P32" s="44">
        <v>2000</v>
      </c>
      <c r="Q32" s="44">
        <v>2000</v>
      </c>
      <c r="R32" s="44">
        <v>2000</v>
      </c>
      <c r="S32" s="44">
        <v>2000</v>
      </c>
      <c r="T32" s="44">
        <v>2000</v>
      </c>
      <c r="U32" s="44"/>
      <c r="V32" s="44"/>
      <c r="W32" s="44"/>
      <c r="X32" s="44"/>
      <c r="Y32" s="44"/>
      <c r="Z32" s="37" t="s">
        <v>355</v>
      </c>
    </row>
    <row r="33" spans="2:26">
      <c r="B33" s="43">
        <f t="shared" si="2"/>
        <v>29</v>
      </c>
      <c r="C33" s="43" t="s">
        <v>329</v>
      </c>
      <c r="D33" s="43" t="s">
        <v>404</v>
      </c>
      <c r="E33" s="43" t="str">
        <f>B33&amp;"_"&amp;C33&amp;"_"&amp;D33</f>
        <v>29_パラマウントベッド_女性社員交流会 キックオフイベント支援</v>
      </c>
      <c r="F33" s="43" t="s">
        <v>368</v>
      </c>
      <c r="G33" s="43" t="s">
        <v>275</v>
      </c>
      <c r="H33" s="44" t="s">
        <v>271</v>
      </c>
      <c r="I33" s="56">
        <v>700</v>
      </c>
      <c r="J33" s="13">
        <f t="shared" si="0"/>
        <v>280</v>
      </c>
      <c r="K33" s="55">
        <f t="shared" si="4"/>
        <v>420</v>
      </c>
      <c r="L33" s="43">
        <v>1</v>
      </c>
      <c r="M33" s="13">
        <f t="shared" si="1"/>
        <v>700</v>
      </c>
      <c r="N33" s="44"/>
      <c r="O33" s="44">
        <v>280</v>
      </c>
      <c r="P33" s="44"/>
      <c r="Q33" s="44"/>
      <c r="R33" s="44"/>
      <c r="S33" s="44"/>
      <c r="T33" s="44"/>
      <c r="U33" s="44"/>
      <c r="V33" s="44"/>
      <c r="W33" s="44"/>
      <c r="X33" s="44"/>
      <c r="Y33" s="44"/>
      <c r="Z33" s="37" t="s">
        <v>355</v>
      </c>
    </row>
    <row r="34" spans="2:26">
      <c r="B34" s="43">
        <f t="shared" ref="B34" si="6">ROW(A34)-4</f>
        <v>30</v>
      </c>
      <c r="C34" s="43" t="s">
        <v>329</v>
      </c>
      <c r="D34" s="43" t="s">
        <v>405</v>
      </c>
      <c r="E34" s="43" t="str">
        <f>B34&amp;"_"&amp;C34&amp;"_"&amp;D34</f>
        <v>30_パラマウントベッド_女性社員交流会_女性キャリア研修</v>
      </c>
      <c r="F34" s="43" t="s">
        <v>383</v>
      </c>
      <c r="G34" s="43" t="s">
        <v>275</v>
      </c>
      <c r="H34" s="44" t="s">
        <v>271</v>
      </c>
      <c r="I34" s="56">
        <v>1164</v>
      </c>
      <c r="J34" s="13">
        <f>SUM(N34:Y34)</f>
        <v>232</v>
      </c>
      <c r="K34" s="55">
        <f>I34-J34</f>
        <v>932</v>
      </c>
      <c r="L34" s="43">
        <v>2</v>
      </c>
      <c r="M34" s="13">
        <f t="shared" si="1"/>
        <v>582</v>
      </c>
      <c r="N34" s="44"/>
      <c r="O34" s="44"/>
      <c r="P34" s="44"/>
      <c r="Q34" s="44">
        <v>232</v>
      </c>
      <c r="R34" s="44"/>
      <c r="S34" s="44"/>
      <c r="T34" s="44"/>
      <c r="U34" s="44"/>
      <c r="V34" s="44"/>
      <c r="W34" s="44"/>
      <c r="X34" s="44"/>
      <c r="Y34" s="44"/>
      <c r="Z34" s="37" t="s">
        <v>355</v>
      </c>
    </row>
    <row r="35" spans="2:26">
      <c r="B35" s="43">
        <v>31</v>
      </c>
      <c r="C35" s="43" t="s">
        <v>268</v>
      </c>
      <c r="D35" s="43" t="s">
        <v>406</v>
      </c>
      <c r="E35" s="43" t="str">
        <f t="shared" si="5"/>
        <v>31_パーソルクロステクノロジー_社内広報業務支援</v>
      </c>
      <c r="F35" s="43" t="s">
        <v>407</v>
      </c>
      <c r="G35" s="43" t="s">
        <v>275</v>
      </c>
      <c r="H35" s="44" t="s">
        <v>271</v>
      </c>
      <c r="I35" s="76">
        <v>2250</v>
      </c>
      <c r="J35" s="13">
        <f t="shared" ref="J35:J36" si="7">SUM(N35:Y35)</f>
        <v>2250</v>
      </c>
      <c r="K35" s="36">
        <f t="shared" ref="K35:K36" si="8">I35-J35</f>
        <v>0</v>
      </c>
      <c r="L35" s="43">
        <v>3</v>
      </c>
      <c r="M35" s="13">
        <f t="shared" si="1"/>
        <v>750</v>
      </c>
      <c r="N35" s="44"/>
      <c r="O35" s="44">
        <v>750</v>
      </c>
      <c r="P35" s="44">
        <v>750</v>
      </c>
      <c r="Q35" s="44">
        <v>750</v>
      </c>
      <c r="R35" s="44"/>
      <c r="S35" s="44"/>
      <c r="T35" s="44"/>
      <c r="U35" s="44"/>
      <c r="V35" s="44"/>
      <c r="W35" s="44"/>
      <c r="X35" s="44"/>
      <c r="Y35" s="44"/>
      <c r="Z35" s="37" t="s">
        <v>355</v>
      </c>
    </row>
    <row r="36" spans="2:26">
      <c r="B36" s="43">
        <v>32</v>
      </c>
      <c r="C36" s="43" t="s">
        <v>408</v>
      </c>
      <c r="D36" s="43" t="s">
        <v>409</v>
      </c>
      <c r="E36" s="43" t="str">
        <f t="shared" si="5"/>
        <v>32_ソフトバンク_スキルマップ作成</v>
      </c>
      <c r="F36" s="43" t="s">
        <v>362</v>
      </c>
      <c r="G36" s="43" t="s">
        <v>296</v>
      </c>
      <c r="H36" s="44" t="s">
        <v>191</v>
      </c>
      <c r="I36" s="44">
        <v>4500</v>
      </c>
      <c r="J36" s="13">
        <f t="shared" si="7"/>
        <v>4500</v>
      </c>
      <c r="K36" s="36">
        <f t="shared" si="8"/>
        <v>0</v>
      </c>
      <c r="L36" s="43">
        <v>3</v>
      </c>
      <c r="M36" s="13">
        <f t="shared" si="1"/>
        <v>1500</v>
      </c>
      <c r="N36" s="44"/>
      <c r="O36" s="44"/>
      <c r="P36" s="44"/>
      <c r="Q36" s="44"/>
      <c r="R36" s="44">
        <v>1500</v>
      </c>
      <c r="S36" s="44">
        <v>1500</v>
      </c>
      <c r="T36" s="44">
        <v>1500</v>
      </c>
      <c r="U36" s="44"/>
      <c r="V36" s="44"/>
      <c r="W36" s="44"/>
      <c r="X36" s="44"/>
      <c r="Y36" s="44"/>
      <c r="Z36" s="37" t="s">
        <v>355</v>
      </c>
    </row>
    <row r="37" spans="2:26">
      <c r="B37" s="43">
        <v>33</v>
      </c>
      <c r="C37" s="43" t="s">
        <v>365</v>
      </c>
      <c r="D37" s="43" t="s">
        <v>366</v>
      </c>
      <c r="E37" s="43" t="str">
        <f t="shared" si="5"/>
        <v>33_田島ルーフィング_推せる職場診断</v>
      </c>
      <c r="F37" s="43" t="s">
        <v>407</v>
      </c>
      <c r="G37" s="43" t="s">
        <v>275</v>
      </c>
      <c r="H37" s="44" t="s">
        <v>191</v>
      </c>
      <c r="I37" s="44">
        <v>3100</v>
      </c>
      <c r="J37" s="13">
        <v>3100</v>
      </c>
      <c r="K37" s="36">
        <f t="shared" ref="K37:K53" si="9">I37-J37</f>
        <v>0</v>
      </c>
      <c r="L37" s="43">
        <v>5</v>
      </c>
      <c r="M37" s="13">
        <f t="shared" si="1"/>
        <v>620</v>
      </c>
      <c r="N37" s="44"/>
      <c r="O37" s="44">
        <v>1000</v>
      </c>
      <c r="P37" s="44">
        <v>1000</v>
      </c>
      <c r="Q37" s="44">
        <v>300</v>
      </c>
      <c r="R37" s="44">
        <v>300</v>
      </c>
      <c r="S37" s="44">
        <v>500</v>
      </c>
      <c r="T37" s="44"/>
      <c r="U37" s="44"/>
      <c r="V37" s="44"/>
      <c r="W37" s="44"/>
      <c r="X37" s="44"/>
      <c r="Y37" s="44"/>
      <c r="Z37" s="37" t="s">
        <v>355</v>
      </c>
    </row>
    <row r="38" spans="2:26">
      <c r="B38" s="43">
        <v>34</v>
      </c>
      <c r="C38" s="43" t="s">
        <v>410</v>
      </c>
      <c r="D38" s="43" t="s">
        <v>411</v>
      </c>
      <c r="E38" s="43" t="str">
        <f t="shared" si="5"/>
        <v>34_インテージテクノスフィア_経営層向けレポート作成支援_Phase1</v>
      </c>
      <c r="F38" s="43" t="s">
        <v>383</v>
      </c>
      <c r="G38" s="43" t="s">
        <v>296</v>
      </c>
      <c r="H38" s="44" t="s">
        <v>412</v>
      </c>
      <c r="I38" s="44">
        <v>900</v>
      </c>
      <c r="J38" s="13">
        <f t="shared" ref="J38:J65" si="10">SUM(N38:Y38)</f>
        <v>900</v>
      </c>
      <c r="K38" s="36">
        <f t="shared" si="9"/>
        <v>0</v>
      </c>
      <c r="L38" s="43">
        <v>1</v>
      </c>
      <c r="M38" s="13">
        <f t="shared" ref="M38:M68" si="11">IFERROR(I38/L38,"-")</f>
        <v>900</v>
      </c>
      <c r="N38" s="44"/>
      <c r="O38" s="44">
        <v>900</v>
      </c>
      <c r="P38" s="44"/>
      <c r="Q38" s="44"/>
      <c r="R38" s="44"/>
      <c r="S38" s="44"/>
      <c r="T38" s="44"/>
      <c r="U38" s="44"/>
      <c r="V38" s="44"/>
      <c r="W38" s="44"/>
      <c r="X38" s="44"/>
      <c r="Y38" s="44"/>
      <c r="Z38" s="37" t="s">
        <v>355</v>
      </c>
    </row>
    <row r="39" spans="2:26">
      <c r="B39" s="43">
        <v>35</v>
      </c>
      <c r="C39" s="43" t="s">
        <v>408</v>
      </c>
      <c r="D39" s="43" t="s">
        <v>409</v>
      </c>
      <c r="E39" s="43" t="str">
        <f t="shared" si="5"/>
        <v>35_ソフトバンク_スキルマップ作成</v>
      </c>
      <c r="F39" s="43" t="s">
        <v>362</v>
      </c>
      <c r="G39" s="43" t="s">
        <v>296</v>
      </c>
      <c r="H39" s="44" t="s">
        <v>191</v>
      </c>
      <c r="I39" s="44">
        <v>15000</v>
      </c>
      <c r="J39" s="13">
        <f t="shared" si="10"/>
        <v>15000</v>
      </c>
      <c r="K39" s="36">
        <f t="shared" si="9"/>
        <v>0</v>
      </c>
      <c r="L39" s="43">
        <v>5</v>
      </c>
      <c r="M39" s="13">
        <f t="shared" si="11"/>
        <v>3000</v>
      </c>
      <c r="N39" s="44"/>
      <c r="O39" s="44">
        <v>1000</v>
      </c>
      <c r="P39" s="44">
        <v>2500</v>
      </c>
      <c r="Q39" s="44">
        <v>2500</v>
      </c>
      <c r="R39" s="44">
        <v>3000</v>
      </c>
      <c r="S39" s="44">
        <v>3000</v>
      </c>
      <c r="T39" s="44">
        <v>3000</v>
      </c>
      <c r="U39" s="44"/>
      <c r="V39" s="44"/>
      <c r="W39" s="44"/>
      <c r="X39" s="44"/>
      <c r="Y39" s="44"/>
      <c r="Z39" s="37" t="s">
        <v>355</v>
      </c>
    </row>
    <row r="40" spans="2:26">
      <c r="B40" s="43">
        <v>36</v>
      </c>
      <c r="C40" s="43" t="s">
        <v>413</v>
      </c>
      <c r="D40" s="43" t="s">
        <v>414</v>
      </c>
      <c r="E40" s="43" t="str">
        <f>B40&amp;"_"&amp;C40&amp;"_"&amp;D40</f>
        <v>36_パラドックス_森の歩き方実装支援（10月以降）</v>
      </c>
      <c r="F40" s="43" t="s">
        <v>362</v>
      </c>
      <c r="G40" s="43" t="s">
        <v>275</v>
      </c>
      <c r="H40" s="44" t="s">
        <v>191</v>
      </c>
      <c r="I40" s="44">
        <v>1650</v>
      </c>
      <c r="J40" s="13">
        <f t="shared" si="10"/>
        <v>1650</v>
      </c>
      <c r="K40" s="36">
        <f t="shared" si="9"/>
        <v>0</v>
      </c>
      <c r="L40" s="43">
        <v>6</v>
      </c>
      <c r="M40" s="13">
        <f t="shared" si="11"/>
        <v>275</v>
      </c>
      <c r="N40" s="44"/>
      <c r="O40" s="44">
        <v>150</v>
      </c>
      <c r="P40" s="44">
        <v>300</v>
      </c>
      <c r="Q40" s="44">
        <v>300</v>
      </c>
      <c r="R40" s="44">
        <v>300</v>
      </c>
      <c r="S40" s="44">
        <v>300</v>
      </c>
      <c r="T40" s="44">
        <v>300</v>
      </c>
      <c r="U40" s="44"/>
      <c r="V40" s="44"/>
      <c r="W40" s="44"/>
      <c r="X40" s="44"/>
      <c r="Y40" s="44"/>
      <c r="Z40" s="37" t="s">
        <v>355</v>
      </c>
    </row>
    <row r="41" spans="2:26">
      <c r="B41" s="43">
        <v>37</v>
      </c>
      <c r="C41" s="43" t="s">
        <v>415</v>
      </c>
      <c r="D41" s="43" t="s">
        <v>416</v>
      </c>
      <c r="E41" s="43" t="str">
        <f t="shared" si="5"/>
        <v>37_リンクシェア・ジャパン_早期戦力化へのオンボーディングプログラム設計</v>
      </c>
      <c r="F41" s="43" t="s">
        <v>362</v>
      </c>
      <c r="G41" s="43" t="s">
        <v>296</v>
      </c>
      <c r="H41" s="44" t="s">
        <v>191</v>
      </c>
      <c r="I41" s="44">
        <v>5000</v>
      </c>
      <c r="J41" s="13">
        <f t="shared" si="10"/>
        <v>5000</v>
      </c>
      <c r="K41" s="36">
        <f t="shared" si="9"/>
        <v>0</v>
      </c>
      <c r="L41" s="43">
        <v>3</v>
      </c>
      <c r="M41" s="13">
        <f t="shared" si="11"/>
        <v>1666.6666666666667</v>
      </c>
      <c r="N41" s="44"/>
      <c r="O41" s="44"/>
      <c r="P41" s="44"/>
      <c r="Q41" s="44"/>
      <c r="R41" s="44"/>
      <c r="S41" s="44"/>
      <c r="T41" s="44"/>
      <c r="U41" s="44">
        <v>1000</v>
      </c>
      <c r="V41" s="44">
        <v>2000</v>
      </c>
      <c r="W41" s="44">
        <v>2000</v>
      </c>
      <c r="X41" s="44"/>
      <c r="Y41" s="44"/>
      <c r="Z41" s="37" t="s">
        <v>355</v>
      </c>
    </row>
    <row r="42" spans="2:26">
      <c r="B42" s="43">
        <v>38</v>
      </c>
      <c r="C42" s="43" t="s">
        <v>417</v>
      </c>
      <c r="D42" s="43" t="s">
        <v>418</v>
      </c>
      <c r="E42" s="43" t="str">
        <f t="shared" si="5"/>
        <v>38_本田技術研究所_女性研究職社員の定着へ向けた課題分析・施策立案</v>
      </c>
      <c r="F42" s="43" t="s">
        <v>407</v>
      </c>
      <c r="G42" s="43" t="s">
        <v>296</v>
      </c>
      <c r="H42" s="44" t="s">
        <v>191</v>
      </c>
      <c r="I42" s="44">
        <v>3000</v>
      </c>
      <c r="J42" s="13">
        <f t="shared" si="10"/>
        <v>3000</v>
      </c>
      <c r="K42" s="36">
        <f t="shared" si="9"/>
        <v>0</v>
      </c>
      <c r="L42" s="43">
        <v>3</v>
      </c>
      <c r="M42" s="13">
        <f t="shared" si="11"/>
        <v>1000</v>
      </c>
      <c r="N42" s="44"/>
      <c r="O42" s="44"/>
      <c r="P42" s="44">
        <v>1000</v>
      </c>
      <c r="Q42" s="44">
        <v>1000</v>
      </c>
      <c r="R42" s="44">
        <v>1000</v>
      </c>
      <c r="S42" s="44"/>
      <c r="T42" s="44"/>
      <c r="U42" s="44"/>
      <c r="V42" s="44"/>
      <c r="W42" s="44"/>
      <c r="X42" s="44"/>
      <c r="Y42" s="44"/>
      <c r="Z42" s="37" t="s">
        <v>355</v>
      </c>
    </row>
    <row r="43" spans="2:26">
      <c r="B43" s="43">
        <v>39</v>
      </c>
      <c r="C43" s="43" t="s">
        <v>305</v>
      </c>
      <c r="D43" s="43" t="s">
        <v>419</v>
      </c>
      <c r="E43" s="43" t="str">
        <f t="shared" si="5"/>
        <v>39_asics_製造現場の業務効率化</v>
      </c>
      <c r="F43" s="43" t="s">
        <v>383</v>
      </c>
      <c r="G43" s="43" t="s">
        <v>244</v>
      </c>
      <c r="H43" s="44" t="s">
        <v>203</v>
      </c>
      <c r="I43" s="44"/>
      <c r="J43" s="13">
        <f t="shared" si="10"/>
        <v>0</v>
      </c>
      <c r="K43" s="36">
        <f t="shared" si="9"/>
        <v>0</v>
      </c>
      <c r="L43" s="43"/>
      <c r="M43" s="13" t="str">
        <f t="shared" si="11"/>
        <v>-</v>
      </c>
      <c r="N43" s="44"/>
      <c r="O43" s="44"/>
      <c r="P43" s="44"/>
      <c r="Q43" s="44"/>
      <c r="R43" s="44"/>
      <c r="S43" s="44"/>
      <c r="T43" s="44"/>
      <c r="U43" s="44"/>
      <c r="V43" s="44"/>
      <c r="W43" s="44"/>
      <c r="X43" s="44"/>
      <c r="Y43" s="44"/>
      <c r="Z43" s="37" t="s">
        <v>355</v>
      </c>
    </row>
    <row r="44" spans="2:26">
      <c r="B44" s="43">
        <v>40</v>
      </c>
      <c r="C44" s="43" t="s">
        <v>420</v>
      </c>
      <c r="D44" s="43" t="s">
        <v>421</v>
      </c>
      <c r="E44" s="43" t="str">
        <f t="shared" si="5"/>
        <v>40_三井情報_人材マネジメントアドバイザリー</v>
      </c>
      <c r="F44" s="43" t="s">
        <v>362</v>
      </c>
      <c r="G44" s="43" t="s">
        <v>275</v>
      </c>
      <c r="H44" s="44" t="s">
        <v>191</v>
      </c>
      <c r="I44" s="44">
        <v>3500</v>
      </c>
      <c r="J44" s="13">
        <f t="shared" si="10"/>
        <v>3500</v>
      </c>
      <c r="K44" s="36">
        <f t="shared" si="9"/>
        <v>0</v>
      </c>
      <c r="L44" s="43">
        <v>5</v>
      </c>
      <c r="M44" s="13">
        <f t="shared" si="11"/>
        <v>700</v>
      </c>
      <c r="N44" s="44"/>
      <c r="O44" s="44"/>
      <c r="P44" s="44">
        <v>700</v>
      </c>
      <c r="Q44" s="44">
        <v>700</v>
      </c>
      <c r="R44" s="44">
        <v>700</v>
      </c>
      <c r="S44" s="44">
        <v>700</v>
      </c>
      <c r="T44" s="44">
        <v>700</v>
      </c>
      <c r="U44" s="44"/>
      <c r="V44" s="44"/>
      <c r="W44" s="44"/>
      <c r="X44" s="44"/>
      <c r="Y44" s="44"/>
      <c r="Z44" s="37" t="s">
        <v>355</v>
      </c>
    </row>
    <row r="45" spans="2:26">
      <c r="B45" s="43">
        <v>41</v>
      </c>
      <c r="C45" s="43" t="s">
        <v>312</v>
      </c>
      <c r="D45" s="43" t="s">
        <v>422</v>
      </c>
      <c r="E45" s="43" t="str">
        <f t="shared" si="5"/>
        <v>41_トヨタコネクティッド_オンボーディング施策設計</v>
      </c>
      <c r="F45" s="43" t="s">
        <v>407</v>
      </c>
      <c r="G45" s="43" t="s">
        <v>222</v>
      </c>
      <c r="H45" s="44" t="s">
        <v>191</v>
      </c>
      <c r="I45" s="44">
        <v>6000</v>
      </c>
      <c r="J45" s="13">
        <f t="shared" si="10"/>
        <v>6000</v>
      </c>
      <c r="K45" s="36">
        <f t="shared" si="9"/>
        <v>0</v>
      </c>
      <c r="L45" s="43">
        <v>3</v>
      </c>
      <c r="M45" s="13">
        <f t="shared" si="11"/>
        <v>2000</v>
      </c>
      <c r="N45" s="44"/>
      <c r="O45" s="44"/>
      <c r="P45" s="44"/>
      <c r="Q45" s="44"/>
      <c r="R45" s="44">
        <v>2000</v>
      </c>
      <c r="S45" s="44">
        <v>2000</v>
      </c>
      <c r="T45" s="44">
        <v>2000</v>
      </c>
      <c r="U45" s="44"/>
      <c r="V45" s="44"/>
      <c r="W45" s="44"/>
      <c r="X45" s="44"/>
      <c r="Y45" s="44"/>
      <c r="Z45" s="37" t="s">
        <v>355</v>
      </c>
    </row>
    <row r="46" spans="2:26">
      <c r="B46" s="43">
        <v>42</v>
      </c>
      <c r="C46" s="43" t="s">
        <v>423</v>
      </c>
      <c r="D46" s="43" t="s">
        <v>424</v>
      </c>
      <c r="E46" s="43" t="str">
        <f t="shared" si="5"/>
        <v>42_オーネスト_マネジメント力定義</v>
      </c>
      <c r="F46" s="43" t="s">
        <v>407</v>
      </c>
      <c r="G46" s="43" t="s">
        <v>244</v>
      </c>
      <c r="H46" s="44" t="s">
        <v>425</v>
      </c>
      <c r="I46" s="44">
        <v>4500</v>
      </c>
      <c r="J46" s="13">
        <f t="shared" si="10"/>
        <v>4500</v>
      </c>
      <c r="K46" s="36">
        <f t="shared" si="9"/>
        <v>0</v>
      </c>
      <c r="L46" s="43">
        <v>3</v>
      </c>
      <c r="M46" s="13">
        <f t="shared" si="11"/>
        <v>1500</v>
      </c>
      <c r="N46" s="44"/>
      <c r="O46" s="44"/>
      <c r="P46" s="44"/>
      <c r="Q46" s="44"/>
      <c r="R46" s="44"/>
      <c r="S46" s="44"/>
      <c r="T46" s="44"/>
      <c r="U46" s="44">
        <v>1500</v>
      </c>
      <c r="V46" s="44">
        <v>1500</v>
      </c>
      <c r="W46" s="44">
        <v>1500</v>
      </c>
      <c r="X46" s="44"/>
      <c r="Y46" s="44"/>
      <c r="Z46" s="37" t="s">
        <v>355</v>
      </c>
    </row>
    <row r="47" spans="2:26">
      <c r="B47" s="43">
        <v>43</v>
      </c>
      <c r="C47" s="43" t="s">
        <v>317</v>
      </c>
      <c r="D47" s="43" t="s">
        <v>426</v>
      </c>
      <c r="E47" s="43" t="str">
        <f t="shared" si="5"/>
        <v>43_一条工務店_育成体系</v>
      </c>
      <c r="F47" s="43" t="s">
        <v>362</v>
      </c>
      <c r="G47" s="43" t="s">
        <v>296</v>
      </c>
      <c r="H47" s="44" t="s">
        <v>191</v>
      </c>
      <c r="I47" s="44">
        <v>4000</v>
      </c>
      <c r="J47" s="13">
        <f t="shared" si="10"/>
        <v>4000</v>
      </c>
      <c r="K47" s="36">
        <f t="shared" si="9"/>
        <v>0</v>
      </c>
      <c r="L47" s="43">
        <v>2</v>
      </c>
      <c r="M47" s="13">
        <f t="shared" si="11"/>
        <v>2000</v>
      </c>
      <c r="N47" s="44"/>
      <c r="O47" s="44"/>
      <c r="P47" s="44"/>
      <c r="Q47" s="44">
        <v>2000</v>
      </c>
      <c r="R47" s="44">
        <v>2000</v>
      </c>
      <c r="S47" s="44"/>
      <c r="T47" s="44"/>
      <c r="U47" s="44"/>
      <c r="V47" s="44"/>
      <c r="W47" s="44"/>
      <c r="X47" s="44"/>
      <c r="Y47" s="44"/>
      <c r="Z47" s="37" t="s">
        <v>355</v>
      </c>
    </row>
    <row r="48" spans="2:26" s="89" customFormat="1">
      <c r="B48" s="86">
        <v>44</v>
      </c>
      <c r="C48" s="86" t="s">
        <v>308</v>
      </c>
      <c r="D48" s="86" t="s">
        <v>309</v>
      </c>
      <c r="E48" s="86" t="str">
        <f>B48&amp;"_"&amp;C48&amp;"_"&amp;D48</f>
        <v>44_YAMAGATA_PoC営業支援</v>
      </c>
      <c r="F48" s="86" t="s">
        <v>383</v>
      </c>
      <c r="G48" s="86" t="s">
        <v>244</v>
      </c>
      <c r="H48" s="87" t="s">
        <v>311</v>
      </c>
      <c r="I48" s="87">
        <v>1200</v>
      </c>
      <c r="J48" s="88">
        <f t="shared" si="10"/>
        <v>0</v>
      </c>
      <c r="K48" s="88">
        <f t="shared" si="9"/>
        <v>1200</v>
      </c>
      <c r="L48" s="86"/>
      <c r="M48" s="88" t="str">
        <f t="shared" si="11"/>
        <v>-</v>
      </c>
      <c r="N48" s="87"/>
      <c r="O48" s="87"/>
      <c r="P48" s="87"/>
      <c r="Q48" s="87"/>
      <c r="R48" s="87"/>
      <c r="S48" s="87"/>
      <c r="T48" s="87"/>
      <c r="U48" s="87"/>
      <c r="V48" s="87"/>
      <c r="W48" s="87"/>
      <c r="X48" s="87"/>
      <c r="Y48" s="87"/>
      <c r="Z48" s="89" t="s">
        <v>355</v>
      </c>
    </row>
    <row r="49" spans="2:26">
      <c r="B49" s="43">
        <v>45</v>
      </c>
      <c r="C49" s="43" t="s">
        <v>305</v>
      </c>
      <c r="D49" s="43" t="s">
        <v>427</v>
      </c>
      <c r="E49" s="43" t="str">
        <f t="shared" si="5"/>
        <v>45_asics_役員合宿</v>
      </c>
      <c r="F49" s="43" t="s">
        <v>407</v>
      </c>
      <c r="G49" s="43" t="s">
        <v>244</v>
      </c>
      <c r="H49" s="44" t="s">
        <v>425</v>
      </c>
      <c r="I49" s="44">
        <v>2000</v>
      </c>
      <c r="J49" s="13">
        <f t="shared" si="10"/>
        <v>2000</v>
      </c>
      <c r="K49" s="36">
        <f t="shared" si="9"/>
        <v>0</v>
      </c>
      <c r="L49" s="43">
        <v>1</v>
      </c>
      <c r="M49" s="13">
        <f t="shared" si="11"/>
        <v>2000</v>
      </c>
      <c r="N49" s="44"/>
      <c r="O49" s="44"/>
      <c r="P49" s="44"/>
      <c r="Q49" s="44"/>
      <c r="R49" s="44"/>
      <c r="S49" s="44">
        <v>2000</v>
      </c>
      <c r="T49" s="44"/>
      <c r="U49" s="44"/>
      <c r="V49" s="44"/>
      <c r="W49" s="44"/>
      <c r="X49" s="44"/>
      <c r="Y49" s="44"/>
      <c r="Z49" s="37" t="s">
        <v>355</v>
      </c>
    </row>
    <row r="50" spans="2:26">
      <c r="B50" s="43">
        <v>46</v>
      </c>
      <c r="C50" s="43" t="s">
        <v>172</v>
      </c>
      <c r="D50" s="43" t="s">
        <v>428</v>
      </c>
      <c r="E50" s="43" t="str">
        <f t="shared" si="5"/>
        <v>46_オーネスト_人事・評価制度見直し</v>
      </c>
      <c r="F50" s="43" t="s">
        <v>362</v>
      </c>
      <c r="G50" s="43" t="s">
        <v>244</v>
      </c>
      <c r="H50" s="44" t="s">
        <v>396</v>
      </c>
      <c r="I50" s="44">
        <v>6000</v>
      </c>
      <c r="J50" s="13">
        <f t="shared" si="10"/>
        <v>6000</v>
      </c>
      <c r="K50" s="36">
        <f t="shared" si="9"/>
        <v>0</v>
      </c>
      <c r="L50" s="43">
        <v>5</v>
      </c>
      <c r="M50" s="13">
        <f t="shared" si="11"/>
        <v>1200</v>
      </c>
      <c r="N50" s="44"/>
      <c r="O50" s="44"/>
      <c r="P50" s="44"/>
      <c r="Q50" s="44"/>
      <c r="R50" s="44"/>
      <c r="S50" s="44"/>
      <c r="T50" s="44"/>
      <c r="U50" s="44"/>
      <c r="V50" s="44">
        <v>1500</v>
      </c>
      <c r="W50" s="44">
        <v>1500</v>
      </c>
      <c r="X50" s="44">
        <v>1500</v>
      </c>
      <c r="Y50" s="44">
        <v>1500</v>
      </c>
      <c r="Z50" s="37" t="s">
        <v>355</v>
      </c>
    </row>
    <row r="51" spans="2:26">
      <c r="B51" s="43">
        <v>47</v>
      </c>
      <c r="C51" s="43" t="s">
        <v>429</v>
      </c>
      <c r="D51" s="43" t="s">
        <v>430</v>
      </c>
      <c r="E51" s="43" t="str">
        <f t="shared" si="5"/>
        <v>47_朝日生命_社内大学設立への現状調査</v>
      </c>
      <c r="F51" s="43" t="s">
        <v>362</v>
      </c>
      <c r="G51" s="43" t="s">
        <v>222</v>
      </c>
      <c r="H51" s="44" t="s">
        <v>191</v>
      </c>
      <c r="I51" s="44">
        <v>3200</v>
      </c>
      <c r="J51" s="13">
        <f t="shared" si="10"/>
        <v>3200</v>
      </c>
      <c r="K51" s="36">
        <f t="shared" si="9"/>
        <v>0</v>
      </c>
      <c r="L51" s="43">
        <v>1.5</v>
      </c>
      <c r="M51" s="13">
        <f t="shared" si="11"/>
        <v>2133.3333333333335</v>
      </c>
      <c r="N51" s="44"/>
      <c r="O51" s="44"/>
      <c r="P51" s="44"/>
      <c r="Q51" s="44"/>
      <c r="R51" s="44"/>
      <c r="S51" s="44">
        <v>1200</v>
      </c>
      <c r="T51" s="44">
        <v>2000</v>
      </c>
      <c r="U51" s="44"/>
      <c r="V51" s="44"/>
      <c r="W51" s="44"/>
      <c r="X51" s="44"/>
      <c r="Y51" s="44"/>
      <c r="Z51" s="37" t="s">
        <v>355</v>
      </c>
    </row>
    <row r="52" spans="2:26">
      <c r="B52" s="43">
        <v>48</v>
      </c>
      <c r="C52" s="43" t="s">
        <v>431</v>
      </c>
      <c r="D52" s="43" t="s">
        <v>432</v>
      </c>
      <c r="E52" s="43" t="str">
        <f t="shared" si="5"/>
        <v>48_アートプレスト_評価者研修（期末評価）</v>
      </c>
      <c r="F52" s="43" t="s">
        <v>362</v>
      </c>
      <c r="G52" s="43" t="s">
        <v>275</v>
      </c>
      <c r="H52" s="44" t="s">
        <v>433</v>
      </c>
      <c r="I52" s="44">
        <v>100</v>
      </c>
      <c r="J52" s="13">
        <f t="shared" si="10"/>
        <v>100</v>
      </c>
      <c r="K52" s="36">
        <f t="shared" si="9"/>
        <v>0</v>
      </c>
      <c r="L52" s="43">
        <v>1</v>
      </c>
      <c r="M52" s="13">
        <f t="shared" si="11"/>
        <v>100</v>
      </c>
      <c r="N52" s="44"/>
      <c r="O52" s="44"/>
      <c r="P52" s="44"/>
      <c r="Q52" s="44"/>
      <c r="R52" s="44"/>
      <c r="S52" s="44">
        <v>100</v>
      </c>
      <c r="T52" s="44"/>
      <c r="U52" s="44"/>
      <c r="V52" s="44"/>
      <c r="W52" s="44"/>
      <c r="X52" s="44"/>
      <c r="Y52" s="44"/>
      <c r="Z52" s="37" t="s">
        <v>355</v>
      </c>
    </row>
    <row r="53" spans="2:26">
      <c r="B53" s="43">
        <v>49</v>
      </c>
      <c r="C53" s="43" t="s">
        <v>431</v>
      </c>
      <c r="D53" s="43" t="s">
        <v>434</v>
      </c>
      <c r="E53" s="43" t="str">
        <f t="shared" si="5"/>
        <v>49_アートプレスト_2026年上期人事施策実行支援</v>
      </c>
      <c r="F53" s="43" t="s">
        <v>383</v>
      </c>
      <c r="G53" s="43" t="s">
        <v>244</v>
      </c>
      <c r="H53" s="44" t="s">
        <v>433</v>
      </c>
      <c r="I53" s="44">
        <v>25000</v>
      </c>
      <c r="J53" s="13">
        <f t="shared" si="10"/>
        <v>25000</v>
      </c>
      <c r="K53" s="36">
        <f t="shared" si="9"/>
        <v>0</v>
      </c>
      <c r="L53" s="43">
        <v>5</v>
      </c>
      <c r="M53" s="13">
        <f t="shared" si="11"/>
        <v>5000</v>
      </c>
      <c r="N53" s="44"/>
      <c r="O53" s="44"/>
      <c r="P53" s="44"/>
      <c r="Q53" s="44"/>
      <c r="R53" s="44"/>
      <c r="S53" s="44"/>
      <c r="T53" s="44"/>
      <c r="U53" s="44">
        <v>5000</v>
      </c>
      <c r="V53" s="44">
        <v>5000</v>
      </c>
      <c r="W53" s="44">
        <v>5000</v>
      </c>
      <c r="X53" s="44">
        <v>5000</v>
      </c>
      <c r="Y53" s="44">
        <v>5000</v>
      </c>
      <c r="Z53" s="37" t="s">
        <v>355</v>
      </c>
    </row>
    <row r="54" spans="2:26">
      <c r="B54" s="43">
        <v>50</v>
      </c>
      <c r="C54" s="43" t="s">
        <v>435</v>
      </c>
      <c r="D54" s="43" t="s">
        <v>436</v>
      </c>
      <c r="E54" s="43" t="str">
        <f t="shared" si="5"/>
        <v>50_宮﨑精鋼_部課長FB</v>
      </c>
      <c r="F54" s="43" t="s">
        <v>437</v>
      </c>
      <c r="G54" s="43" t="s">
        <v>275</v>
      </c>
      <c r="H54" s="44" t="s">
        <v>187</v>
      </c>
      <c r="I54" s="44">
        <v>100</v>
      </c>
      <c r="J54" s="13">
        <f t="shared" si="10"/>
        <v>100</v>
      </c>
      <c r="K54" s="36"/>
      <c r="L54" s="43">
        <v>0.5</v>
      </c>
      <c r="M54" s="13">
        <f t="shared" si="11"/>
        <v>200</v>
      </c>
      <c r="N54" s="44"/>
      <c r="O54" s="44"/>
      <c r="P54" s="44"/>
      <c r="Q54" s="44">
        <v>100</v>
      </c>
      <c r="R54" s="44"/>
      <c r="S54" s="44"/>
      <c r="T54" s="44"/>
      <c r="U54" s="44"/>
      <c r="V54" s="44"/>
      <c r="W54" s="44"/>
      <c r="X54" s="44"/>
      <c r="Y54" s="44"/>
      <c r="Z54" s="37" t="s">
        <v>355</v>
      </c>
    </row>
    <row r="55" spans="2:26">
      <c r="B55" s="43">
        <v>51</v>
      </c>
      <c r="C55" s="43" t="s">
        <v>127</v>
      </c>
      <c r="D55" s="43" t="s">
        <v>438</v>
      </c>
      <c r="E55" s="43" t="str">
        <f t="shared" si="5"/>
        <v>51_コメダ_コメダ大学目的・スコープ再設計</v>
      </c>
      <c r="F55" s="43" t="s">
        <v>362</v>
      </c>
      <c r="G55" s="43" t="s">
        <v>244</v>
      </c>
      <c r="H55" s="44" t="s">
        <v>191</v>
      </c>
      <c r="I55" s="44">
        <v>3000</v>
      </c>
      <c r="J55" s="13">
        <f t="shared" si="10"/>
        <v>2000</v>
      </c>
      <c r="K55" s="36"/>
      <c r="L55" s="43">
        <v>1</v>
      </c>
      <c r="M55" s="13">
        <f t="shared" si="11"/>
        <v>3000</v>
      </c>
      <c r="N55" s="44"/>
      <c r="O55" s="44"/>
      <c r="P55" s="44"/>
      <c r="Q55" s="44"/>
      <c r="R55" s="44"/>
      <c r="S55" s="44"/>
      <c r="T55" s="44"/>
      <c r="U55" s="44">
        <v>2000</v>
      </c>
      <c r="V55" s="44"/>
      <c r="W55" s="44"/>
      <c r="X55" s="44"/>
      <c r="Y55" s="44"/>
      <c r="Z55" s="37" t="s">
        <v>355</v>
      </c>
    </row>
    <row r="56" spans="2:26">
      <c r="B56" s="43">
        <v>52</v>
      </c>
      <c r="C56" s="43" t="s">
        <v>439</v>
      </c>
      <c r="D56" s="43" t="s">
        <v>440</v>
      </c>
      <c r="E56" s="43" t="str">
        <f t="shared" si="5"/>
        <v>52_OKIクロステック_エンゲージメント向上支援</v>
      </c>
      <c r="F56" s="43" t="s">
        <v>437</v>
      </c>
      <c r="G56" s="43" t="s">
        <v>296</v>
      </c>
      <c r="H56" s="44" t="s">
        <v>187</v>
      </c>
      <c r="I56" s="44">
        <v>13000</v>
      </c>
      <c r="J56" s="13">
        <f t="shared" si="10"/>
        <v>13000</v>
      </c>
      <c r="K56" s="36"/>
      <c r="L56" s="43">
        <v>5</v>
      </c>
      <c r="M56" s="13">
        <f t="shared" si="11"/>
        <v>2600</v>
      </c>
      <c r="N56" s="44"/>
      <c r="O56" s="44"/>
      <c r="P56" s="44"/>
      <c r="Q56" s="44"/>
      <c r="R56" s="44"/>
      <c r="S56" s="44"/>
      <c r="T56" s="44"/>
      <c r="U56" s="44">
        <v>2600</v>
      </c>
      <c r="V56" s="44">
        <v>2600</v>
      </c>
      <c r="W56" s="44">
        <v>2600</v>
      </c>
      <c r="X56" s="44">
        <v>2600</v>
      </c>
      <c r="Y56" s="44">
        <v>2600</v>
      </c>
      <c r="Z56" s="37" t="s">
        <v>355</v>
      </c>
    </row>
    <row r="57" spans="2:26">
      <c r="B57" s="43">
        <f>ROW(A57)-4</f>
        <v>53</v>
      </c>
      <c r="C57" s="43" t="s">
        <v>308</v>
      </c>
      <c r="D57" s="43" t="s">
        <v>441</v>
      </c>
      <c r="E57" s="43" t="str">
        <f>"0"&amp;B57&amp;"_"&amp;C57&amp;"_"&amp;D57</f>
        <v>053_YAMAGATA_S1および制作部門変革支援（フェーズ4）</v>
      </c>
      <c r="F57" s="43" t="s">
        <v>368</v>
      </c>
      <c r="G57" s="43" t="s">
        <v>275</v>
      </c>
      <c r="H57" s="44" t="s">
        <v>271</v>
      </c>
      <c r="I57" s="44">
        <v>33000</v>
      </c>
      <c r="J57" s="13">
        <f t="shared" si="10"/>
        <v>33000</v>
      </c>
      <c r="K57" s="36"/>
      <c r="L57" s="43">
        <v>6</v>
      </c>
      <c r="M57" s="13">
        <f t="shared" si="11"/>
        <v>5500</v>
      </c>
      <c r="N57" s="44"/>
      <c r="O57" s="44"/>
      <c r="P57" s="44"/>
      <c r="Q57" s="44"/>
      <c r="R57" s="44"/>
      <c r="S57" s="44">
        <v>6250</v>
      </c>
      <c r="T57" s="44">
        <v>5350</v>
      </c>
      <c r="U57" s="44">
        <v>5350</v>
      </c>
      <c r="V57" s="44">
        <v>5350</v>
      </c>
      <c r="W57" s="44">
        <v>5350</v>
      </c>
      <c r="X57" s="44">
        <v>5350</v>
      </c>
      <c r="Y57" s="44"/>
      <c r="Z57" s="37" t="s">
        <v>355</v>
      </c>
    </row>
    <row r="58" spans="2:26">
      <c r="B58" s="43">
        <v>54</v>
      </c>
      <c r="C58" s="43" t="s">
        <v>320</v>
      </c>
      <c r="D58" s="43" t="s">
        <v>321</v>
      </c>
      <c r="E58" s="43" t="str">
        <f t="shared" si="5"/>
        <v>54_トーシンパートナーズホールディングス_育成体系設計</v>
      </c>
      <c r="F58" s="43" t="s">
        <v>362</v>
      </c>
      <c r="G58" s="43" t="s">
        <v>296</v>
      </c>
      <c r="H58" s="44" t="s">
        <v>333</v>
      </c>
      <c r="I58" s="44">
        <v>5500</v>
      </c>
      <c r="J58" s="13">
        <f t="shared" si="10"/>
        <v>5500</v>
      </c>
      <c r="K58" s="36"/>
      <c r="L58" s="43">
        <v>2</v>
      </c>
      <c r="M58" s="13">
        <f t="shared" si="11"/>
        <v>2750</v>
      </c>
      <c r="N58" s="44"/>
      <c r="O58" s="44"/>
      <c r="P58" s="44"/>
      <c r="Q58" s="44"/>
      <c r="R58" s="44">
        <v>1500</v>
      </c>
      <c r="S58" s="44">
        <v>2000</v>
      </c>
      <c r="T58" s="44">
        <v>2000</v>
      </c>
      <c r="U58" s="44"/>
      <c r="V58" s="44"/>
      <c r="W58" s="44"/>
      <c r="X58" s="44"/>
      <c r="Y58" s="44"/>
      <c r="Z58" s="37" t="s">
        <v>355</v>
      </c>
    </row>
    <row r="59" spans="2:26">
      <c r="B59" s="43">
        <v>55</v>
      </c>
      <c r="C59" s="43" t="s">
        <v>442</v>
      </c>
      <c r="D59" s="43" t="s">
        <v>443</v>
      </c>
      <c r="E59" s="43" t="str">
        <f t="shared" si="5"/>
        <v>55_OKI_採用＆オンボーディング支援_Ph.1基礎調査</v>
      </c>
      <c r="F59" s="43" t="s">
        <v>383</v>
      </c>
      <c r="G59" s="43" t="s">
        <v>444</v>
      </c>
      <c r="H59" s="44" t="s">
        <v>187</v>
      </c>
      <c r="I59" s="44">
        <v>2000</v>
      </c>
      <c r="J59" s="13">
        <f t="shared" si="10"/>
        <v>2000</v>
      </c>
      <c r="K59" s="36"/>
      <c r="L59" s="43">
        <v>1</v>
      </c>
      <c r="M59" s="13">
        <f>IFERROR(I59/L59,"-")</f>
        <v>2000</v>
      </c>
      <c r="N59" s="44"/>
      <c r="O59" s="44"/>
      <c r="P59" s="44"/>
      <c r="Q59" s="44"/>
      <c r="R59" s="44"/>
      <c r="S59" s="44"/>
      <c r="T59" s="44">
        <v>2000</v>
      </c>
      <c r="U59" s="44"/>
      <c r="V59" s="44"/>
      <c r="W59" s="44"/>
      <c r="X59" s="44"/>
      <c r="Y59" s="44"/>
      <c r="Z59" s="37" t="s">
        <v>355</v>
      </c>
    </row>
    <row r="60" spans="2:26">
      <c r="B60" s="43">
        <v>56</v>
      </c>
      <c r="C60" s="43" t="s">
        <v>445</v>
      </c>
      <c r="D60" s="43" t="s">
        <v>446</v>
      </c>
      <c r="E60" s="43" t="str">
        <f t="shared" si="5"/>
        <v>56_オニカナ_採用支援</v>
      </c>
      <c r="F60" s="43" t="s">
        <v>383</v>
      </c>
      <c r="G60" s="43" t="s">
        <v>163</v>
      </c>
      <c r="H60" s="44" t="s">
        <v>333</v>
      </c>
      <c r="I60" s="44">
        <v>3000</v>
      </c>
      <c r="J60" s="13">
        <f t="shared" si="10"/>
        <v>3000</v>
      </c>
      <c r="K60" s="36"/>
      <c r="L60" s="43">
        <v>2</v>
      </c>
      <c r="M60" s="13">
        <f t="shared" si="11"/>
        <v>1500</v>
      </c>
      <c r="N60" s="44"/>
      <c r="O60" s="44"/>
      <c r="P60" s="44"/>
      <c r="Q60" s="44"/>
      <c r="R60" s="44"/>
      <c r="S60" s="44"/>
      <c r="T60" s="44">
        <v>1500</v>
      </c>
      <c r="U60" s="44">
        <v>1500</v>
      </c>
      <c r="V60" s="44"/>
      <c r="W60" s="44"/>
      <c r="X60" s="44"/>
      <c r="Y60" s="44"/>
      <c r="Z60" s="37" t="s">
        <v>355</v>
      </c>
    </row>
    <row r="61" spans="2:26">
      <c r="B61" s="43">
        <v>57</v>
      </c>
      <c r="C61" s="43" t="s">
        <v>320</v>
      </c>
      <c r="D61" s="43" t="s">
        <v>447</v>
      </c>
      <c r="E61" s="43" t="str">
        <f t="shared" si="5"/>
        <v>57_トーシンパートナーズホールディングス_マネージャークラスのスキル診断・研修伴走</v>
      </c>
      <c r="F61" s="43" t="s">
        <v>362</v>
      </c>
      <c r="G61" s="43" t="s">
        <v>163</v>
      </c>
      <c r="H61" s="44" t="s">
        <v>333</v>
      </c>
      <c r="I61" s="44">
        <v>8000</v>
      </c>
      <c r="J61" s="13">
        <f t="shared" si="10"/>
        <v>8000</v>
      </c>
      <c r="K61" s="36"/>
      <c r="L61" s="43">
        <v>4</v>
      </c>
      <c r="M61" s="13">
        <f t="shared" si="11"/>
        <v>2000</v>
      </c>
      <c r="N61" s="44"/>
      <c r="O61" s="44"/>
      <c r="P61" s="44"/>
      <c r="Q61" s="44"/>
      <c r="R61" s="44"/>
      <c r="S61" s="44"/>
      <c r="T61" s="44"/>
      <c r="U61" s="44"/>
      <c r="V61" s="44">
        <v>2000</v>
      </c>
      <c r="W61" s="44">
        <v>2000</v>
      </c>
      <c r="X61" s="44">
        <v>2000</v>
      </c>
      <c r="Y61" s="44">
        <v>2000</v>
      </c>
      <c r="Z61" s="37" t="s">
        <v>355</v>
      </c>
    </row>
    <row r="62" spans="2:26">
      <c r="B62" s="43">
        <v>58</v>
      </c>
      <c r="C62" s="43" t="s">
        <v>329</v>
      </c>
      <c r="D62" s="43" t="s">
        <v>448</v>
      </c>
      <c r="E62" s="43" t="str">
        <f>B62&amp;"_"&amp;C62&amp;"_"&amp;D62</f>
        <v>58_パラマウントベッド_DEI事務局 伴走支援　フェーズ1</v>
      </c>
      <c r="F62" s="43" t="s">
        <v>383</v>
      </c>
      <c r="G62" s="43" t="s">
        <v>163</v>
      </c>
      <c r="H62" s="44" t="s">
        <v>271</v>
      </c>
      <c r="I62" s="44">
        <v>5400</v>
      </c>
      <c r="J62" s="13">
        <f t="shared" si="10"/>
        <v>5400</v>
      </c>
      <c r="K62" s="36"/>
      <c r="L62" s="43">
        <v>3</v>
      </c>
      <c r="M62" s="13">
        <f t="shared" si="11"/>
        <v>1800</v>
      </c>
      <c r="N62" s="44"/>
      <c r="O62" s="44"/>
      <c r="P62" s="44"/>
      <c r="Q62" s="44"/>
      <c r="R62" s="44"/>
      <c r="S62" s="44"/>
      <c r="T62" s="44"/>
      <c r="U62" s="44">
        <v>1800</v>
      </c>
      <c r="V62" s="44">
        <v>1800</v>
      </c>
      <c r="W62" s="44">
        <v>1800</v>
      </c>
      <c r="X62" s="44"/>
      <c r="Y62" s="44"/>
      <c r="Z62" s="37" t="s">
        <v>355</v>
      </c>
    </row>
    <row r="63" spans="2:26">
      <c r="B63" s="43">
        <v>59</v>
      </c>
      <c r="C63" s="43" t="s">
        <v>329</v>
      </c>
      <c r="D63" s="43" t="s">
        <v>449</v>
      </c>
      <c r="E63" s="43" t="str">
        <f t="shared" si="5"/>
        <v>59_パラマウントベッド_管理職向け研修（コンサル分のみ）</v>
      </c>
      <c r="F63" s="43" t="s">
        <v>362</v>
      </c>
      <c r="G63" s="43" t="s">
        <v>163</v>
      </c>
      <c r="H63" s="44" t="s">
        <v>271</v>
      </c>
      <c r="I63" s="44">
        <v>600</v>
      </c>
      <c r="J63" s="13">
        <f t="shared" si="10"/>
        <v>400</v>
      </c>
      <c r="K63" s="36"/>
      <c r="L63" s="43">
        <v>5</v>
      </c>
      <c r="M63" s="13">
        <f t="shared" si="11"/>
        <v>120</v>
      </c>
      <c r="N63" s="44"/>
      <c r="O63" s="44"/>
      <c r="P63" s="44"/>
      <c r="Q63" s="44"/>
      <c r="R63" s="44"/>
      <c r="S63" s="44"/>
      <c r="T63" s="44"/>
      <c r="U63" s="44"/>
      <c r="V63" s="44">
        <v>400</v>
      </c>
      <c r="W63" s="44"/>
      <c r="X63" s="44"/>
      <c r="Y63" s="44"/>
      <c r="Z63" s="37" t="s">
        <v>355</v>
      </c>
    </row>
    <row r="64" spans="2:26">
      <c r="B64" s="43">
        <v>60</v>
      </c>
      <c r="C64" s="43" t="s">
        <v>450</v>
      </c>
      <c r="D64" s="43" t="s">
        <v>451</v>
      </c>
      <c r="E64" s="43" t="str">
        <f t="shared" si="5"/>
        <v>60_三井情報_人材マネジメントアドバイザリーPhase2</v>
      </c>
      <c r="F64" s="43" t="s">
        <v>362</v>
      </c>
      <c r="G64" s="43" t="s">
        <v>222</v>
      </c>
      <c r="H64" s="44" t="s">
        <v>191</v>
      </c>
      <c r="I64" s="44">
        <v>3500</v>
      </c>
      <c r="J64" s="13">
        <f t="shared" si="10"/>
        <v>3500</v>
      </c>
      <c r="K64" s="36"/>
      <c r="L64" s="43">
        <v>5</v>
      </c>
      <c r="M64" s="13">
        <f t="shared" si="11"/>
        <v>700</v>
      </c>
      <c r="N64" s="44"/>
      <c r="O64" s="44"/>
      <c r="P64" s="44"/>
      <c r="Q64" s="44"/>
      <c r="R64" s="44"/>
      <c r="S64" s="44"/>
      <c r="T64" s="44"/>
      <c r="U64" s="44">
        <v>700</v>
      </c>
      <c r="V64" s="44">
        <v>700</v>
      </c>
      <c r="W64" s="44">
        <v>700</v>
      </c>
      <c r="X64" s="44">
        <v>700</v>
      </c>
      <c r="Y64" s="44">
        <v>700</v>
      </c>
      <c r="Z64" s="37" t="s">
        <v>355</v>
      </c>
    </row>
    <row r="65" spans="2:26">
      <c r="B65" s="43">
        <v>61</v>
      </c>
      <c r="C65" s="43" t="s">
        <v>452</v>
      </c>
      <c r="D65" s="43" t="s">
        <v>453</v>
      </c>
      <c r="E65" s="43" t="str">
        <f t="shared" si="5"/>
        <v>61_Beyonge_AP様向け新卒採用支援販売手数料</v>
      </c>
      <c r="F65" s="43" t="s">
        <v>383</v>
      </c>
      <c r="G65" s="43" t="s">
        <v>275</v>
      </c>
      <c r="H65" s="44" t="s">
        <v>381</v>
      </c>
      <c r="I65" s="44">
        <v>600</v>
      </c>
      <c r="J65" s="13">
        <f t="shared" si="10"/>
        <v>600</v>
      </c>
      <c r="K65" s="36"/>
      <c r="L65" s="43">
        <v>6</v>
      </c>
      <c r="M65" s="13">
        <f t="shared" si="11"/>
        <v>100</v>
      </c>
      <c r="N65" s="44"/>
      <c r="O65" s="44"/>
      <c r="P65" s="44"/>
      <c r="Q65" s="44"/>
      <c r="R65" s="44"/>
      <c r="S65" s="44">
        <v>100</v>
      </c>
      <c r="T65" s="44">
        <v>100</v>
      </c>
      <c r="U65" s="44">
        <v>100</v>
      </c>
      <c r="V65" s="44">
        <v>100</v>
      </c>
      <c r="W65" s="44">
        <v>100</v>
      </c>
      <c r="X65" s="44">
        <v>100</v>
      </c>
      <c r="Y65" s="44"/>
      <c r="Z65" s="37" t="s">
        <v>355</v>
      </c>
    </row>
    <row r="66" spans="2:26">
      <c r="B66" s="43">
        <v>62</v>
      </c>
      <c r="C66" s="43" t="s">
        <v>454</v>
      </c>
      <c r="D66" s="43" t="s">
        <v>455</v>
      </c>
      <c r="E66" s="43" t="str">
        <f t="shared" si="5"/>
        <v>62_防衛省統合幕僚監部_エンゲージメントサーベイ</v>
      </c>
      <c r="F66" s="43" t="s">
        <v>437</v>
      </c>
      <c r="G66" s="43" t="s">
        <v>163</v>
      </c>
      <c r="H66" s="44" t="s">
        <v>187</v>
      </c>
      <c r="I66" s="44">
        <v>4000</v>
      </c>
      <c r="J66" s="36"/>
      <c r="K66" s="36"/>
      <c r="L66" s="43"/>
      <c r="M66" s="13" t="str">
        <f t="shared" si="11"/>
        <v>-</v>
      </c>
      <c r="N66" s="44"/>
      <c r="O66" s="44"/>
      <c r="P66" s="44"/>
      <c r="Q66" s="44"/>
      <c r="R66" s="44"/>
      <c r="S66" s="44"/>
      <c r="T66" s="44"/>
      <c r="U66" s="44"/>
      <c r="V66" s="44"/>
      <c r="W66" s="44"/>
      <c r="X66" s="44"/>
      <c r="Y66" s="44"/>
      <c r="Z66" s="37" t="s">
        <v>355</v>
      </c>
    </row>
    <row r="67" spans="2:26">
      <c r="B67" s="43">
        <v>63</v>
      </c>
      <c r="C67" s="43" t="s">
        <v>420</v>
      </c>
      <c r="D67" s="43" t="s">
        <v>456</v>
      </c>
      <c r="E67" s="43" t="str">
        <f t="shared" si="5"/>
        <v>63_三井情報_キャリア支援ガイドライン設計</v>
      </c>
      <c r="F67" s="43" t="s">
        <v>362</v>
      </c>
      <c r="G67" s="43" t="s">
        <v>222</v>
      </c>
      <c r="H67" s="44" t="s">
        <v>191</v>
      </c>
      <c r="I67" s="44">
        <v>3000</v>
      </c>
      <c r="J67" s="36"/>
      <c r="K67" s="36"/>
      <c r="L67" s="43">
        <v>2</v>
      </c>
      <c r="M67" s="13">
        <f t="shared" si="11"/>
        <v>1500</v>
      </c>
      <c r="N67" s="44"/>
      <c r="O67" s="44"/>
      <c r="P67" s="44"/>
      <c r="Q67" s="44"/>
      <c r="R67" s="44"/>
      <c r="S67" s="44"/>
      <c r="T67" s="44"/>
      <c r="U67" s="44">
        <v>1500</v>
      </c>
      <c r="V67" s="44">
        <v>1500</v>
      </c>
      <c r="W67" s="44"/>
      <c r="X67" s="44"/>
      <c r="Y67" s="44"/>
      <c r="Z67" s="37" t="s">
        <v>355</v>
      </c>
    </row>
    <row r="68" spans="2:26">
      <c r="B68" s="43">
        <v>64</v>
      </c>
      <c r="C68" s="43" t="s">
        <v>457</v>
      </c>
      <c r="D68" s="43" t="s">
        <v>458</v>
      </c>
      <c r="E68" s="43" t="str">
        <f t="shared" si="5"/>
        <v>64_日立ハイテク_人事データ分析</v>
      </c>
      <c r="F68" s="43" t="s">
        <v>437</v>
      </c>
      <c r="G68" s="43" t="s">
        <v>222</v>
      </c>
      <c r="H68" s="44" t="s">
        <v>187</v>
      </c>
      <c r="I68" s="44">
        <v>1500</v>
      </c>
      <c r="J68" s="36"/>
      <c r="K68" s="36"/>
      <c r="L68" s="43">
        <v>1</v>
      </c>
      <c r="M68" s="13">
        <f t="shared" si="11"/>
        <v>1500</v>
      </c>
      <c r="N68" s="44"/>
      <c r="O68" s="44"/>
      <c r="P68" s="44"/>
      <c r="Q68" s="44"/>
      <c r="R68" s="44"/>
      <c r="S68" s="44">
        <v>500</v>
      </c>
      <c r="T68" s="44">
        <v>1000</v>
      </c>
      <c r="U68" s="44"/>
      <c r="V68" s="44"/>
      <c r="W68" s="44"/>
      <c r="X68" s="44"/>
      <c r="Y68" s="44"/>
      <c r="Z68" s="37" t="s">
        <v>355</v>
      </c>
    </row>
    <row r="69" spans="2:26">
      <c r="B69" s="43">
        <v>65</v>
      </c>
      <c r="C69" s="43" t="s">
        <v>442</v>
      </c>
      <c r="D69" s="43" t="s">
        <v>459</v>
      </c>
      <c r="E69" s="43" t="str">
        <f t="shared" si="5"/>
        <v>65_OKI_採用＆オンボーディング支援_Ph.2</v>
      </c>
      <c r="F69" s="43" t="s">
        <v>383</v>
      </c>
      <c r="G69" s="43" t="s">
        <v>444</v>
      </c>
      <c r="H69" s="44" t="s">
        <v>187</v>
      </c>
      <c r="I69" s="44">
        <v>13000</v>
      </c>
      <c r="J69" s="36"/>
      <c r="K69" s="36"/>
      <c r="L69" s="43"/>
      <c r="M69" s="13" t="str">
        <f t="shared" ref="M69:M100" si="12">IFERROR(I69/L69,"-")</f>
        <v>-</v>
      </c>
      <c r="N69" s="44"/>
      <c r="O69" s="44"/>
      <c r="P69" s="44"/>
      <c r="Q69" s="44"/>
      <c r="R69" s="44"/>
      <c r="S69" s="44"/>
      <c r="T69" s="44"/>
      <c r="U69" s="44">
        <v>2160</v>
      </c>
      <c r="V69" s="44">
        <v>2160</v>
      </c>
      <c r="W69" s="44">
        <v>2200</v>
      </c>
      <c r="X69" s="44">
        <v>2160</v>
      </c>
      <c r="Y69" s="44">
        <v>2160</v>
      </c>
      <c r="Z69" s="37" t="s">
        <v>355</v>
      </c>
    </row>
    <row r="70" spans="2:26">
      <c r="B70" s="43">
        <v>66</v>
      </c>
      <c r="C70" s="43" t="s">
        <v>460</v>
      </c>
      <c r="D70" s="43" t="s">
        <v>461</v>
      </c>
      <c r="E70" s="43" t="str">
        <f t="shared" si="5"/>
        <v>66_ローソンエンタテインメント_戦略人事室立ち上げ支援</v>
      </c>
      <c r="F70" s="43" t="s">
        <v>383</v>
      </c>
      <c r="G70" s="43" t="s">
        <v>244</v>
      </c>
      <c r="H70" s="44" t="s">
        <v>187</v>
      </c>
      <c r="I70" s="44">
        <v>6000</v>
      </c>
      <c r="J70" s="36"/>
      <c r="K70" s="36"/>
      <c r="L70" s="43">
        <v>3.5</v>
      </c>
      <c r="M70" s="13">
        <f t="shared" si="12"/>
        <v>1714.2857142857142</v>
      </c>
      <c r="N70" s="44"/>
      <c r="O70" s="44"/>
      <c r="P70" s="44"/>
      <c r="Q70" s="44"/>
      <c r="R70" s="44"/>
      <c r="S70" s="44"/>
      <c r="T70" s="44">
        <v>1700</v>
      </c>
      <c r="U70" s="44">
        <v>1700</v>
      </c>
      <c r="V70" s="44">
        <v>1700</v>
      </c>
      <c r="W70" s="44">
        <v>1700</v>
      </c>
      <c r="X70" s="44"/>
      <c r="Y70" s="44"/>
      <c r="Z70" s="37" t="s">
        <v>355</v>
      </c>
    </row>
    <row r="71" spans="2:26">
      <c r="B71" s="43">
        <v>67</v>
      </c>
      <c r="C71" s="43" t="s">
        <v>462</v>
      </c>
      <c r="D71" s="43" t="s">
        <v>463</v>
      </c>
      <c r="E71" s="43" t="str">
        <f t="shared" si="5"/>
        <v>67_ひらまつ_育成ガイドライン設計支援Phase2</v>
      </c>
      <c r="F71" s="43" t="s">
        <v>362</v>
      </c>
      <c r="G71" s="43" t="s">
        <v>244</v>
      </c>
      <c r="H71" s="44" t="s">
        <v>191</v>
      </c>
      <c r="I71" s="44">
        <v>8000</v>
      </c>
      <c r="J71" s="36"/>
      <c r="K71" s="36"/>
      <c r="L71" s="43">
        <v>4</v>
      </c>
      <c r="M71" s="13">
        <f t="shared" si="12"/>
        <v>2000</v>
      </c>
      <c r="N71" s="44"/>
      <c r="O71" s="44"/>
      <c r="P71" s="44"/>
      <c r="Q71" s="44"/>
      <c r="R71" s="44"/>
      <c r="S71" s="44"/>
      <c r="T71" s="44"/>
      <c r="U71" s="44"/>
      <c r="V71" s="44">
        <v>2000</v>
      </c>
      <c r="W71" s="44">
        <v>2000</v>
      </c>
      <c r="X71" s="44">
        <v>2000</v>
      </c>
      <c r="Y71" s="44">
        <v>2000</v>
      </c>
      <c r="Z71" s="37" t="s">
        <v>355</v>
      </c>
    </row>
    <row r="72" spans="2:26">
      <c r="B72" s="43"/>
      <c r="C72" s="43"/>
      <c r="D72" s="43"/>
      <c r="E72" s="43" t="str">
        <f t="shared" si="5"/>
        <v>__</v>
      </c>
      <c r="F72" s="43"/>
      <c r="G72" s="43"/>
      <c r="H72" s="44"/>
      <c r="I72" s="44"/>
      <c r="J72" s="36"/>
      <c r="K72" s="36"/>
      <c r="L72" s="43"/>
      <c r="M72" s="13" t="str">
        <f t="shared" si="12"/>
        <v>-</v>
      </c>
      <c r="N72" s="44"/>
      <c r="O72" s="44"/>
      <c r="P72" s="44"/>
      <c r="Q72" s="44"/>
      <c r="R72" s="44"/>
      <c r="S72" s="44"/>
      <c r="T72" s="44"/>
      <c r="U72" s="44"/>
      <c r="V72" s="44"/>
      <c r="W72" s="44"/>
      <c r="X72" s="44"/>
      <c r="Y72" s="44"/>
      <c r="Z72" s="37" t="s">
        <v>355</v>
      </c>
    </row>
    <row r="73" spans="2:26">
      <c r="B73" s="43"/>
      <c r="C73" s="43"/>
      <c r="D73" s="43"/>
      <c r="E73" s="43" t="str">
        <f t="shared" si="5"/>
        <v>__</v>
      </c>
      <c r="F73" s="43"/>
      <c r="G73" s="43"/>
      <c r="H73" s="44"/>
      <c r="I73" s="44"/>
      <c r="J73" s="36"/>
      <c r="K73" s="36"/>
      <c r="L73" s="43"/>
      <c r="M73" s="13" t="str">
        <f t="shared" si="12"/>
        <v>-</v>
      </c>
      <c r="N73" s="44"/>
      <c r="O73" s="44"/>
      <c r="P73" s="44"/>
      <c r="Q73" s="44"/>
      <c r="R73" s="44"/>
      <c r="S73" s="44"/>
      <c r="T73" s="44"/>
      <c r="U73" s="44"/>
      <c r="V73" s="44"/>
      <c r="W73" s="44"/>
      <c r="X73" s="44"/>
      <c r="Y73" s="44"/>
      <c r="Z73" s="37" t="s">
        <v>355</v>
      </c>
    </row>
    <row r="74" spans="2:26">
      <c r="B74" s="43"/>
      <c r="C74" s="43"/>
      <c r="D74" s="43"/>
      <c r="E74" s="43" t="str">
        <f t="shared" si="5"/>
        <v>__</v>
      </c>
      <c r="F74" s="43"/>
      <c r="G74" s="43"/>
      <c r="H74" s="44"/>
      <c r="I74" s="44"/>
      <c r="J74" s="36"/>
      <c r="K74" s="36"/>
      <c r="L74" s="43"/>
      <c r="M74" s="13" t="str">
        <f t="shared" si="12"/>
        <v>-</v>
      </c>
      <c r="N74" s="44"/>
      <c r="O74" s="44"/>
      <c r="P74" s="44"/>
      <c r="Q74" s="44"/>
      <c r="R74" s="44"/>
      <c r="S74" s="44"/>
      <c r="T74" s="44"/>
      <c r="U74" s="44"/>
      <c r="V74" s="44"/>
      <c r="W74" s="44"/>
      <c r="X74" s="44"/>
      <c r="Y74" s="44"/>
      <c r="Z74" s="37" t="s">
        <v>355</v>
      </c>
    </row>
    <row r="75" spans="2:26">
      <c r="B75" s="43"/>
      <c r="C75" s="43"/>
      <c r="D75" s="43"/>
      <c r="E75" s="43" t="str">
        <f t="shared" si="5"/>
        <v>__</v>
      </c>
      <c r="F75" s="43"/>
      <c r="G75" s="43"/>
      <c r="H75" s="44"/>
      <c r="I75" s="44"/>
      <c r="J75" s="36"/>
      <c r="K75" s="36"/>
      <c r="L75" s="43"/>
      <c r="M75" s="13" t="str">
        <f t="shared" si="12"/>
        <v>-</v>
      </c>
      <c r="N75" s="44"/>
      <c r="O75" s="44"/>
      <c r="P75" s="44"/>
      <c r="Q75" s="44"/>
      <c r="R75" s="44"/>
      <c r="S75" s="44"/>
      <c r="T75" s="44"/>
      <c r="U75" s="44"/>
      <c r="V75" s="44"/>
      <c r="W75" s="44"/>
      <c r="X75" s="44"/>
      <c r="Y75" s="44"/>
      <c r="Z75" s="37" t="s">
        <v>355</v>
      </c>
    </row>
    <row r="76" spans="2:26">
      <c r="B76" s="43"/>
      <c r="C76" s="43"/>
      <c r="D76" s="43"/>
      <c r="E76" s="43" t="str">
        <f t="shared" si="5"/>
        <v>__</v>
      </c>
      <c r="F76" s="43"/>
      <c r="G76" s="43"/>
      <c r="H76" s="44"/>
      <c r="I76" s="44"/>
      <c r="J76" s="36"/>
      <c r="K76" s="36"/>
      <c r="L76" s="43"/>
      <c r="M76" s="13" t="str">
        <f t="shared" si="12"/>
        <v>-</v>
      </c>
      <c r="N76" s="44"/>
      <c r="O76" s="44"/>
      <c r="P76" s="44"/>
      <c r="Q76" s="44"/>
      <c r="R76" s="44"/>
      <c r="S76" s="44"/>
      <c r="T76" s="44"/>
      <c r="U76" s="44"/>
      <c r="V76" s="44"/>
      <c r="W76" s="44"/>
      <c r="X76" s="44"/>
      <c r="Y76" s="44"/>
      <c r="Z76" s="37" t="s">
        <v>355</v>
      </c>
    </row>
    <row r="77" spans="2:26">
      <c r="B77" s="43"/>
      <c r="C77" s="43"/>
      <c r="D77" s="43"/>
      <c r="E77" s="43" t="str">
        <f t="shared" si="5"/>
        <v>__</v>
      </c>
      <c r="F77" s="43"/>
      <c r="G77" s="43"/>
      <c r="H77" s="44"/>
      <c r="I77" s="44"/>
      <c r="J77" s="36"/>
      <c r="K77" s="36"/>
      <c r="L77" s="43"/>
      <c r="M77" s="13" t="str">
        <f t="shared" si="12"/>
        <v>-</v>
      </c>
      <c r="N77" s="44"/>
      <c r="O77" s="44"/>
      <c r="P77" s="44"/>
      <c r="Q77" s="44"/>
      <c r="R77" s="44"/>
      <c r="S77" s="44"/>
      <c r="T77" s="44"/>
      <c r="U77" s="44"/>
      <c r="V77" s="44"/>
      <c r="W77" s="44"/>
      <c r="X77" s="44"/>
      <c r="Y77" s="44"/>
      <c r="Z77" s="37" t="s">
        <v>355</v>
      </c>
    </row>
    <row r="78" spans="2:26">
      <c r="B78" s="43"/>
      <c r="C78" s="43"/>
      <c r="D78" s="43"/>
      <c r="E78" s="43" t="str">
        <f t="shared" ref="E78:E102" si="13">B78&amp;"_"&amp;C78&amp;"_"&amp;D78</f>
        <v>__</v>
      </c>
      <c r="F78" s="43"/>
      <c r="G78" s="43"/>
      <c r="H78" s="44"/>
      <c r="I78" s="44"/>
      <c r="J78" s="36"/>
      <c r="K78" s="36"/>
      <c r="L78" s="43"/>
      <c r="M78" s="13" t="str">
        <f t="shared" si="12"/>
        <v>-</v>
      </c>
      <c r="N78" s="44"/>
      <c r="O78" s="44"/>
      <c r="P78" s="44"/>
      <c r="Q78" s="44"/>
      <c r="R78" s="44"/>
      <c r="S78" s="44"/>
      <c r="T78" s="44"/>
      <c r="U78" s="44"/>
      <c r="V78" s="44"/>
      <c r="W78" s="44"/>
      <c r="X78" s="44"/>
      <c r="Y78" s="44"/>
      <c r="Z78" s="37" t="s">
        <v>355</v>
      </c>
    </row>
    <row r="79" spans="2:26">
      <c r="B79" s="43"/>
      <c r="C79" s="43"/>
      <c r="D79" s="43"/>
      <c r="E79" s="43" t="str">
        <f t="shared" si="13"/>
        <v>__</v>
      </c>
      <c r="F79" s="43"/>
      <c r="G79" s="43"/>
      <c r="H79" s="44"/>
      <c r="I79" s="44"/>
      <c r="J79" s="36"/>
      <c r="K79" s="36"/>
      <c r="L79" s="43"/>
      <c r="M79" s="13" t="str">
        <f t="shared" si="12"/>
        <v>-</v>
      </c>
      <c r="N79" s="44"/>
      <c r="O79" s="44"/>
      <c r="P79" s="44"/>
      <c r="Q79" s="44"/>
      <c r="R79" s="44"/>
      <c r="S79" s="44"/>
      <c r="T79" s="44"/>
      <c r="U79" s="44"/>
      <c r="V79" s="44"/>
      <c r="W79" s="44"/>
      <c r="X79" s="44"/>
      <c r="Y79" s="44"/>
      <c r="Z79" s="37" t="s">
        <v>355</v>
      </c>
    </row>
    <row r="80" spans="2:26">
      <c r="B80" s="43"/>
      <c r="C80" s="43"/>
      <c r="D80" s="43"/>
      <c r="E80" s="43" t="str">
        <f t="shared" si="13"/>
        <v>__</v>
      </c>
      <c r="F80" s="43"/>
      <c r="G80" s="43"/>
      <c r="H80" s="44"/>
      <c r="I80" s="44"/>
      <c r="J80" s="36"/>
      <c r="K80" s="36"/>
      <c r="L80" s="43"/>
      <c r="M80" s="13" t="str">
        <f t="shared" si="12"/>
        <v>-</v>
      </c>
      <c r="N80" s="44"/>
      <c r="O80" s="44"/>
      <c r="P80" s="44"/>
      <c r="Q80" s="44"/>
      <c r="R80" s="44"/>
      <c r="S80" s="44"/>
      <c r="T80" s="44"/>
      <c r="U80" s="44"/>
      <c r="V80" s="44"/>
      <c r="W80" s="44"/>
      <c r="X80" s="44"/>
      <c r="Y80" s="44"/>
      <c r="Z80" s="37" t="s">
        <v>355</v>
      </c>
    </row>
    <row r="81" spans="2:26">
      <c r="B81" s="43"/>
      <c r="C81" s="43"/>
      <c r="D81" s="43"/>
      <c r="E81" s="43" t="str">
        <f t="shared" si="13"/>
        <v>__</v>
      </c>
      <c r="F81" s="43"/>
      <c r="G81" s="43"/>
      <c r="H81" s="44"/>
      <c r="I81" s="44"/>
      <c r="J81" s="36"/>
      <c r="K81" s="36"/>
      <c r="L81" s="43"/>
      <c r="M81" s="13" t="str">
        <f t="shared" si="12"/>
        <v>-</v>
      </c>
      <c r="N81" s="44"/>
      <c r="O81" s="44"/>
      <c r="P81" s="44"/>
      <c r="Q81" s="44"/>
      <c r="R81" s="44"/>
      <c r="S81" s="44"/>
      <c r="T81" s="44"/>
      <c r="U81" s="44"/>
      <c r="V81" s="44"/>
      <c r="W81" s="44"/>
      <c r="X81" s="44"/>
      <c r="Y81" s="44"/>
      <c r="Z81" s="37" t="s">
        <v>355</v>
      </c>
    </row>
    <row r="82" spans="2:26">
      <c r="B82" s="43"/>
      <c r="C82" s="43"/>
      <c r="D82" s="43"/>
      <c r="E82" s="43" t="str">
        <f t="shared" si="13"/>
        <v>__</v>
      </c>
      <c r="F82" s="43"/>
      <c r="G82" s="43"/>
      <c r="H82" s="44"/>
      <c r="I82" s="44"/>
      <c r="J82" s="36"/>
      <c r="K82" s="36"/>
      <c r="L82" s="43"/>
      <c r="M82" s="13" t="str">
        <f t="shared" si="12"/>
        <v>-</v>
      </c>
      <c r="N82" s="44"/>
      <c r="O82" s="44"/>
      <c r="P82" s="44"/>
      <c r="Q82" s="44"/>
      <c r="R82" s="44"/>
      <c r="S82" s="44"/>
      <c r="T82" s="44"/>
      <c r="U82" s="44"/>
      <c r="V82" s="44"/>
      <c r="W82" s="44"/>
      <c r="X82" s="44"/>
      <c r="Y82" s="44"/>
      <c r="Z82" s="37" t="s">
        <v>355</v>
      </c>
    </row>
    <row r="83" spans="2:26">
      <c r="B83" s="43"/>
      <c r="C83" s="43"/>
      <c r="D83" s="43"/>
      <c r="E83" s="43" t="str">
        <f t="shared" si="13"/>
        <v>__</v>
      </c>
      <c r="F83" s="43"/>
      <c r="G83" s="43"/>
      <c r="H83" s="44"/>
      <c r="I83" s="44"/>
      <c r="J83" s="36"/>
      <c r="K83" s="36"/>
      <c r="L83" s="43"/>
      <c r="M83" s="13" t="str">
        <f t="shared" si="12"/>
        <v>-</v>
      </c>
      <c r="N83" s="44"/>
      <c r="O83" s="44"/>
      <c r="P83" s="44"/>
      <c r="Q83" s="44"/>
      <c r="R83" s="44"/>
      <c r="S83" s="44"/>
      <c r="T83" s="44"/>
      <c r="U83" s="44"/>
      <c r="V83" s="44"/>
      <c r="W83" s="44"/>
      <c r="X83" s="44"/>
      <c r="Y83" s="44"/>
      <c r="Z83" s="37" t="s">
        <v>355</v>
      </c>
    </row>
    <row r="84" spans="2:26">
      <c r="B84" s="43"/>
      <c r="C84" s="43"/>
      <c r="D84" s="43"/>
      <c r="E84" s="43" t="str">
        <f t="shared" si="13"/>
        <v>__</v>
      </c>
      <c r="F84" s="43"/>
      <c r="G84" s="43"/>
      <c r="H84" s="44"/>
      <c r="I84" s="44"/>
      <c r="J84" s="36"/>
      <c r="K84" s="36"/>
      <c r="L84" s="43"/>
      <c r="M84" s="13" t="str">
        <f t="shared" si="12"/>
        <v>-</v>
      </c>
      <c r="N84" s="44"/>
      <c r="O84" s="44"/>
      <c r="P84" s="44"/>
      <c r="Q84" s="44"/>
      <c r="R84" s="44"/>
      <c r="S84" s="44"/>
      <c r="T84" s="44"/>
      <c r="U84" s="44"/>
      <c r="V84" s="44"/>
      <c r="W84" s="44"/>
      <c r="X84" s="44"/>
      <c r="Y84" s="44"/>
      <c r="Z84" s="37" t="s">
        <v>355</v>
      </c>
    </row>
    <row r="85" spans="2:26">
      <c r="B85" s="43"/>
      <c r="C85" s="43"/>
      <c r="D85" s="43"/>
      <c r="E85" s="43" t="str">
        <f t="shared" si="13"/>
        <v>__</v>
      </c>
      <c r="F85" s="43"/>
      <c r="G85" s="43"/>
      <c r="H85" s="44"/>
      <c r="I85" s="44"/>
      <c r="J85" s="36"/>
      <c r="K85" s="36"/>
      <c r="L85" s="43"/>
      <c r="M85" s="13" t="str">
        <f t="shared" si="12"/>
        <v>-</v>
      </c>
      <c r="N85" s="44"/>
      <c r="O85" s="44"/>
      <c r="P85" s="44"/>
      <c r="Q85" s="44"/>
      <c r="R85" s="44"/>
      <c r="S85" s="44"/>
      <c r="T85" s="44"/>
      <c r="U85" s="44"/>
      <c r="V85" s="44"/>
      <c r="W85" s="44"/>
      <c r="X85" s="44"/>
      <c r="Y85" s="44"/>
      <c r="Z85" s="37" t="s">
        <v>355</v>
      </c>
    </row>
    <row r="86" spans="2:26">
      <c r="B86" s="43"/>
      <c r="C86" s="43"/>
      <c r="D86" s="43"/>
      <c r="E86" s="43" t="str">
        <f t="shared" si="13"/>
        <v>__</v>
      </c>
      <c r="F86" s="43"/>
      <c r="G86" s="43"/>
      <c r="H86" s="44"/>
      <c r="I86" s="44"/>
      <c r="J86" s="36"/>
      <c r="K86" s="36"/>
      <c r="L86" s="43"/>
      <c r="M86" s="13" t="str">
        <f t="shared" si="12"/>
        <v>-</v>
      </c>
      <c r="N86" s="44"/>
      <c r="O86" s="44"/>
      <c r="P86" s="44"/>
      <c r="Q86" s="44"/>
      <c r="R86" s="44"/>
      <c r="S86" s="44"/>
      <c r="T86" s="44"/>
      <c r="U86" s="44"/>
      <c r="V86" s="44"/>
      <c r="W86" s="44"/>
      <c r="X86" s="44"/>
      <c r="Y86" s="44"/>
      <c r="Z86" s="37" t="s">
        <v>355</v>
      </c>
    </row>
    <row r="87" spans="2:26">
      <c r="B87" s="43"/>
      <c r="C87" s="43"/>
      <c r="D87" s="43"/>
      <c r="E87" s="43" t="str">
        <f t="shared" si="13"/>
        <v>__</v>
      </c>
      <c r="F87" s="43"/>
      <c r="G87" s="43"/>
      <c r="H87" s="44"/>
      <c r="I87" s="44"/>
      <c r="J87" s="36"/>
      <c r="K87" s="36"/>
      <c r="L87" s="43"/>
      <c r="M87" s="13" t="str">
        <f t="shared" si="12"/>
        <v>-</v>
      </c>
      <c r="N87" s="44"/>
      <c r="O87" s="44"/>
      <c r="P87" s="44"/>
      <c r="Q87" s="44"/>
      <c r="R87" s="44"/>
      <c r="S87" s="44"/>
      <c r="T87" s="44"/>
      <c r="U87" s="44"/>
      <c r="V87" s="44"/>
      <c r="W87" s="44"/>
      <c r="X87" s="44"/>
      <c r="Y87" s="44"/>
      <c r="Z87" s="37" t="s">
        <v>355</v>
      </c>
    </row>
    <row r="88" spans="2:26">
      <c r="B88" s="43"/>
      <c r="C88" s="43"/>
      <c r="D88" s="43"/>
      <c r="E88" s="43" t="str">
        <f t="shared" si="13"/>
        <v>__</v>
      </c>
      <c r="F88" s="43"/>
      <c r="G88" s="43"/>
      <c r="H88" s="44"/>
      <c r="I88" s="44"/>
      <c r="J88" s="36"/>
      <c r="K88" s="36"/>
      <c r="L88" s="43"/>
      <c r="M88" s="13" t="str">
        <f t="shared" si="12"/>
        <v>-</v>
      </c>
      <c r="N88" s="44"/>
      <c r="O88" s="44"/>
      <c r="P88" s="44"/>
      <c r="Q88" s="44"/>
      <c r="R88" s="44"/>
      <c r="S88" s="44"/>
      <c r="T88" s="44"/>
      <c r="U88" s="44"/>
      <c r="V88" s="44"/>
      <c r="W88" s="44"/>
      <c r="X88" s="44"/>
      <c r="Y88" s="44"/>
      <c r="Z88" s="37" t="s">
        <v>355</v>
      </c>
    </row>
    <row r="89" spans="2:26">
      <c r="B89" s="43"/>
      <c r="C89" s="43"/>
      <c r="D89" s="43"/>
      <c r="E89" s="43" t="str">
        <f t="shared" si="13"/>
        <v>__</v>
      </c>
      <c r="F89" s="43"/>
      <c r="G89" s="43"/>
      <c r="H89" s="44"/>
      <c r="I89" s="44"/>
      <c r="J89" s="36"/>
      <c r="K89" s="36"/>
      <c r="L89" s="43"/>
      <c r="M89" s="13" t="str">
        <f t="shared" si="12"/>
        <v>-</v>
      </c>
      <c r="N89" s="44"/>
      <c r="O89" s="44"/>
      <c r="P89" s="44"/>
      <c r="Q89" s="44"/>
      <c r="R89" s="44"/>
      <c r="S89" s="44"/>
      <c r="T89" s="44"/>
      <c r="U89" s="44"/>
      <c r="V89" s="44"/>
      <c r="W89" s="44"/>
      <c r="X89" s="44"/>
      <c r="Y89" s="44"/>
      <c r="Z89" s="37" t="s">
        <v>355</v>
      </c>
    </row>
    <row r="90" spans="2:26">
      <c r="B90" s="43"/>
      <c r="C90" s="43"/>
      <c r="D90" s="43"/>
      <c r="E90" s="43" t="str">
        <f t="shared" si="13"/>
        <v>__</v>
      </c>
      <c r="F90" s="43"/>
      <c r="G90" s="43"/>
      <c r="H90" s="44"/>
      <c r="I90" s="44"/>
      <c r="J90" s="36"/>
      <c r="K90" s="36"/>
      <c r="L90" s="43"/>
      <c r="M90" s="13" t="str">
        <f t="shared" si="12"/>
        <v>-</v>
      </c>
      <c r="N90" s="44"/>
      <c r="O90" s="44"/>
      <c r="P90" s="44"/>
      <c r="Q90" s="44"/>
      <c r="R90" s="44"/>
      <c r="S90" s="44"/>
      <c r="T90" s="44"/>
      <c r="U90" s="44"/>
      <c r="V90" s="44"/>
      <c r="W90" s="44"/>
      <c r="X90" s="44"/>
      <c r="Y90" s="44"/>
      <c r="Z90" s="37" t="s">
        <v>355</v>
      </c>
    </row>
    <row r="91" spans="2:26">
      <c r="B91" s="43"/>
      <c r="C91" s="43"/>
      <c r="D91" s="43"/>
      <c r="E91" s="43" t="str">
        <f t="shared" si="13"/>
        <v>__</v>
      </c>
      <c r="F91" s="43"/>
      <c r="G91" s="43"/>
      <c r="H91" s="44"/>
      <c r="I91" s="44"/>
      <c r="J91" s="36"/>
      <c r="K91" s="36"/>
      <c r="L91" s="43"/>
      <c r="M91" s="13" t="str">
        <f t="shared" si="12"/>
        <v>-</v>
      </c>
      <c r="N91" s="44"/>
      <c r="O91" s="44"/>
      <c r="P91" s="44"/>
      <c r="Q91" s="44"/>
      <c r="R91" s="44"/>
      <c r="S91" s="44"/>
      <c r="T91" s="44"/>
      <c r="U91" s="44"/>
      <c r="V91" s="44"/>
      <c r="W91" s="44"/>
      <c r="X91" s="44"/>
      <c r="Y91" s="44"/>
      <c r="Z91" s="37" t="s">
        <v>355</v>
      </c>
    </row>
    <row r="92" spans="2:26">
      <c r="B92" s="43"/>
      <c r="C92" s="43"/>
      <c r="D92" s="43"/>
      <c r="E92" s="43" t="str">
        <f t="shared" si="13"/>
        <v>__</v>
      </c>
      <c r="F92" s="43"/>
      <c r="G92" s="43"/>
      <c r="H92" s="44"/>
      <c r="I92" s="44"/>
      <c r="J92" s="36"/>
      <c r="K92" s="36"/>
      <c r="L92" s="43"/>
      <c r="M92" s="13" t="str">
        <f t="shared" si="12"/>
        <v>-</v>
      </c>
      <c r="N92" s="44"/>
      <c r="O92" s="44"/>
      <c r="P92" s="44"/>
      <c r="Q92" s="44"/>
      <c r="R92" s="44"/>
      <c r="S92" s="44"/>
      <c r="T92" s="44"/>
      <c r="U92" s="44"/>
      <c r="V92" s="44"/>
      <c r="W92" s="44"/>
      <c r="X92" s="44"/>
      <c r="Y92" s="44"/>
      <c r="Z92" s="37" t="s">
        <v>355</v>
      </c>
    </row>
    <row r="93" spans="2:26">
      <c r="B93" s="43"/>
      <c r="C93" s="43"/>
      <c r="D93" s="43"/>
      <c r="E93" s="43" t="str">
        <f t="shared" si="13"/>
        <v>__</v>
      </c>
      <c r="F93" s="43"/>
      <c r="G93" s="43"/>
      <c r="H93" s="44"/>
      <c r="I93" s="44"/>
      <c r="J93" s="36"/>
      <c r="K93" s="36"/>
      <c r="L93" s="43"/>
      <c r="M93" s="13" t="str">
        <f t="shared" si="12"/>
        <v>-</v>
      </c>
      <c r="N93" s="44"/>
      <c r="O93" s="44"/>
      <c r="P93" s="44"/>
      <c r="Q93" s="44"/>
      <c r="R93" s="44"/>
      <c r="S93" s="44"/>
      <c r="T93" s="44"/>
      <c r="U93" s="44"/>
      <c r="V93" s="44"/>
      <c r="W93" s="44"/>
      <c r="X93" s="44"/>
      <c r="Y93" s="44"/>
      <c r="Z93" s="37" t="s">
        <v>355</v>
      </c>
    </row>
    <row r="94" spans="2:26">
      <c r="B94" s="43"/>
      <c r="C94" s="43"/>
      <c r="D94" s="43"/>
      <c r="E94" s="43" t="str">
        <f t="shared" si="13"/>
        <v>__</v>
      </c>
      <c r="F94" s="43"/>
      <c r="G94" s="43"/>
      <c r="H94" s="44"/>
      <c r="I94" s="44"/>
      <c r="J94" s="36"/>
      <c r="K94" s="36"/>
      <c r="L94" s="43"/>
      <c r="M94" s="13" t="str">
        <f t="shared" si="12"/>
        <v>-</v>
      </c>
      <c r="N94" s="44"/>
      <c r="O94" s="44"/>
      <c r="P94" s="44"/>
      <c r="Q94" s="44"/>
      <c r="R94" s="44"/>
      <c r="S94" s="44"/>
      <c r="T94" s="44"/>
      <c r="U94" s="44"/>
      <c r="V94" s="44"/>
      <c r="W94" s="44"/>
      <c r="X94" s="44"/>
      <c r="Y94" s="44"/>
      <c r="Z94" s="37" t="s">
        <v>355</v>
      </c>
    </row>
    <row r="95" spans="2:26">
      <c r="B95" s="43"/>
      <c r="C95" s="43"/>
      <c r="D95" s="43"/>
      <c r="E95" s="43" t="str">
        <f t="shared" si="13"/>
        <v>__</v>
      </c>
      <c r="F95" s="43"/>
      <c r="G95" s="43"/>
      <c r="H95" s="44"/>
      <c r="I95" s="44"/>
      <c r="J95" s="36"/>
      <c r="K95" s="36"/>
      <c r="L95" s="43"/>
      <c r="M95" s="13" t="str">
        <f t="shared" si="12"/>
        <v>-</v>
      </c>
      <c r="N95" s="44"/>
      <c r="O95" s="44"/>
      <c r="P95" s="44"/>
      <c r="Q95" s="44"/>
      <c r="R95" s="44"/>
      <c r="S95" s="44"/>
      <c r="T95" s="44"/>
      <c r="U95" s="44"/>
      <c r="V95" s="44"/>
      <c r="W95" s="44"/>
      <c r="X95" s="44"/>
      <c r="Y95" s="44"/>
      <c r="Z95" s="37" t="s">
        <v>355</v>
      </c>
    </row>
    <row r="96" spans="2:26">
      <c r="B96" s="43"/>
      <c r="C96" s="43"/>
      <c r="D96" s="43"/>
      <c r="E96" s="43" t="str">
        <f t="shared" si="13"/>
        <v>__</v>
      </c>
      <c r="F96" s="43"/>
      <c r="G96" s="43"/>
      <c r="H96" s="44"/>
      <c r="I96" s="44"/>
      <c r="J96" s="36"/>
      <c r="K96" s="36"/>
      <c r="L96" s="43"/>
      <c r="M96" s="13" t="str">
        <f t="shared" si="12"/>
        <v>-</v>
      </c>
      <c r="N96" s="44"/>
      <c r="O96" s="44"/>
      <c r="P96" s="44"/>
      <c r="Q96" s="44"/>
      <c r="R96" s="44"/>
      <c r="S96" s="44"/>
      <c r="T96" s="44"/>
      <c r="U96" s="44"/>
      <c r="V96" s="44"/>
      <c r="W96" s="44"/>
      <c r="X96" s="44"/>
      <c r="Y96" s="44"/>
      <c r="Z96" s="37" t="s">
        <v>355</v>
      </c>
    </row>
    <row r="97" spans="2:26">
      <c r="B97" s="43"/>
      <c r="C97" s="43"/>
      <c r="D97" s="43"/>
      <c r="E97" s="43" t="str">
        <f t="shared" si="13"/>
        <v>__</v>
      </c>
      <c r="F97" s="43"/>
      <c r="G97" s="43"/>
      <c r="H97" s="44"/>
      <c r="I97" s="44"/>
      <c r="J97" s="36"/>
      <c r="K97" s="36"/>
      <c r="L97" s="43"/>
      <c r="M97" s="13" t="str">
        <f t="shared" si="12"/>
        <v>-</v>
      </c>
      <c r="N97" s="44"/>
      <c r="O97" s="44"/>
      <c r="P97" s="44"/>
      <c r="Q97" s="44"/>
      <c r="R97" s="44"/>
      <c r="S97" s="44"/>
      <c r="T97" s="44"/>
      <c r="U97" s="44"/>
      <c r="V97" s="44"/>
      <c r="W97" s="44"/>
      <c r="X97" s="44"/>
      <c r="Y97" s="44"/>
      <c r="Z97" s="37" t="s">
        <v>355</v>
      </c>
    </row>
    <row r="98" spans="2:26">
      <c r="B98" s="43"/>
      <c r="C98" s="43"/>
      <c r="D98" s="43"/>
      <c r="E98" s="43" t="str">
        <f t="shared" si="13"/>
        <v>__</v>
      </c>
      <c r="F98" s="43"/>
      <c r="G98" s="43"/>
      <c r="H98" s="44"/>
      <c r="I98" s="44"/>
      <c r="J98" s="36"/>
      <c r="K98" s="36"/>
      <c r="L98" s="43"/>
      <c r="M98" s="13" t="str">
        <f t="shared" si="12"/>
        <v>-</v>
      </c>
      <c r="N98" s="44"/>
      <c r="O98" s="44"/>
      <c r="P98" s="44"/>
      <c r="Q98" s="44"/>
      <c r="R98" s="44"/>
      <c r="S98" s="44"/>
      <c r="T98" s="44"/>
      <c r="U98" s="44"/>
      <c r="V98" s="44"/>
      <c r="W98" s="44"/>
      <c r="X98" s="44"/>
      <c r="Y98" s="44"/>
      <c r="Z98" s="37" t="s">
        <v>355</v>
      </c>
    </row>
    <row r="99" spans="2:26">
      <c r="B99" s="43"/>
      <c r="C99" s="43"/>
      <c r="D99" s="43"/>
      <c r="E99" s="43" t="str">
        <f t="shared" si="13"/>
        <v>__</v>
      </c>
      <c r="F99" s="43"/>
      <c r="G99" s="43"/>
      <c r="H99" s="44"/>
      <c r="I99" s="44"/>
      <c r="J99" s="36"/>
      <c r="K99" s="36"/>
      <c r="L99" s="43"/>
      <c r="M99" s="13" t="str">
        <f t="shared" si="12"/>
        <v>-</v>
      </c>
      <c r="N99" s="44"/>
      <c r="O99" s="44"/>
      <c r="P99" s="44"/>
      <c r="Q99" s="44"/>
      <c r="R99" s="44"/>
      <c r="S99" s="44"/>
      <c r="T99" s="44"/>
      <c r="U99" s="44"/>
      <c r="V99" s="44"/>
      <c r="W99" s="44"/>
      <c r="X99" s="44"/>
      <c r="Y99" s="44"/>
      <c r="Z99" s="37" t="s">
        <v>355</v>
      </c>
    </row>
    <row r="100" spans="2:26">
      <c r="B100" s="43"/>
      <c r="C100" s="43"/>
      <c r="D100" s="43"/>
      <c r="E100" s="43" t="str">
        <f t="shared" si="13"/>
        <v>__</v>
      </c>
      <c r="F100" s="43"/>
      <c r="G100" s="43"/>
      <c r="H100" s="44"/>
      <c r="I100" s="44"/>
      <c r="J100" s="36"/>
      <c r="K100" s="36"/>
      <c r="L100" s="43"/>
      <c r="M100" s="13" t="str">
        <f t="shared" si="12"/>
        <v>-</v>
      </c>
      <c r="N100" s="44"/>
      <c r="O100" s="44"/>
      <c r="P100" s="44"/>
      <c r="Q100" s="44"/>
      <c r="R100" s="44"/>
      <c r="S100" s="44"/>
      <c r="T100" s="44"/>
      <c r="U100" s="44"/>
      <c r="V100" s="44"/>
      <c r="W100" s="44"/>
      <c r="X100" s="44"/>
      <c r="Y100" s="44"/>
      <c r="Z100" s="37" t="s">
        <v>355</v>
      </c>
    </row>
    <row r="101" spans="2:26">
      <c r="B101" s="43"/>
      <c r="C101" s="43"/>
      <c r="D101" s="43"/>
      <c r="E101" s="43" t="str">
        <f t="shared" si="13"/>
        <v>__</v>
      </c>
      <c r="F101" s="43"/>
      <c r="G101" s="43"/>
      <c r="H101" s="44"/>
      <c r="I101" s="44"/>
      <c r="J101" s="36"/>
      <c r="K101" s="36"/>
      <c r="L101" s="43"/>
      <c r="M101" s="13" t="str">
        <f t="shared" ref="M101:M102" si="14">IFERROR(I101/L101,"-")</f>
        <v>-</v>
      </c>
      <c r="N101" s="44"/>
      <c r="O101" s="44"/>
      <c r="P101" s="44"/>
      <c r="Q101" s="44"/>
      <c r="R101" s="44"/>
      <c r="S101" s="44"/>
      <c r="T101" s="44"/>
      <c r="U101" s="44"/>
      <c r="V101" s="44"/>
      <c r="W101" s="44"/>
      <c r="X101" s="44"/>
      <c r="Y101" s="44"/>
      <c r="Z101" s="37" t="s">
        <v>355</v>
      </c>
    </row>
    <row r="102" spans="2:26">
      <c r="B102" s="43"/>
      <c r="C102" s="43"/>
      <c r="D102" s="43"/>
      <c r="E102" s="43" t="str">
        <f t="shared" si="13"/>
        <v>__</v>
      </c>
      <c r="F102" s="43"/>
      <c r="G102" s="43"/>
      <c r="H102" s="44"/>
      <c r="I102" s="44"/>
      <c r="J102" s="36"/>
      <c r="K102" s="36"/>
      <c r="L102" s="43"/>
      <c r="M102" s="13" t="str">
        <f t="shared" si="14"/>
        <v>-</v>
      </c>
      <c r="N102" s="44"/>
      <c r="O102" s="44"/>
      <c r="P102" s="44"/>
      <c r="Q102" s="44"/>
      <c r="R102" s="44"/>
      <c r="S102" s="44"/>
      <c r="T102" s="44"/>
      <c r="U102" s="44"/>
      <c r="V102" s="44"/>
      <c r="W102" s="44"/>
      <c r="X102" s="44"/>
      <c r="Y102" s="44"/>
      <c r="Z102" s="37" t="s">
        <v>355</v>
      </c>
    </row>
    <row r="103" spans="2:26">
      <c r="B103" s="42" t="s">
        <v>355</v>
      </c>
      <c r="C103" s="42" t="s">
        <v>355</v>
      </c>
      <c r="D103" s="42" t="s">
        <v>355</v>
      </c>
      <c r="E103" s="42" t="s">
        <v>355</v>
      </c>
      <c r="F103" s="42" t="s">
        <v>355</v>
      </c>
      <c r="G103" s="42" t="s">
        <v>355</v>
      </c>
      <c r="H103" s="42" t="s">
        <v>355</v>
      </c>
      <c r="I103" s="42" t="s">
        <v>355</v>
      </c>
      <c r="J103" s="42" t="s">
        <v>355</v>
      </c>
      <c r="K103" s="42" t="s">
        <v>355</v>
      </c>
      <c r="L103" s="42" t="s">
        <v>355</v>
      </c>
      <c r="M103" s="42" t="s">
        <v>355</v>
      </c>
      <c r="N103" s="42" t="s">
        <v>355</v>
      </c>
      <c r="O103" s="42" t="s">
        <v>355</v>
      </c>
      <c r="P103" s="42" t="s">
        <v>355</v>
      </c>
      <c r="Q103" s="42" t="s">
        <v>355</v>
      </c>
      <c r="R103" s="42" t="s">
        <v>355</v>
      </c>
      <c r="S103" s="42" t="s">
        <v>355</v>
      </c>
      <c r="T103" s="42" t="s">
        <v>355</v>
      </c>
      <c r="U103" s="42" t="s">
        <v>355</v>
      </c>
      <c r="V103" s="42" t="s">
        <v>355</v>
      </c>
      <c r="W103" s="42" t="s">
        <v>355</v>
      </c>
      <c r="X103" s="42" t="s">
        <v>355</v>
      </c>
      <c r="Y103" s="42" t="s">
        <v>355</v>
      </c>
      <c r="Z103" s="42" t="s">
        <v>355</v>
      </c>
    </row>
  </sheetData>
  <autoFilter ref="B4:Y103" xr:uid="{68AA5D78-EC41-4202-B43E-955FC065AA2B}"/>
  <phoneticPr fontId="3"/>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62CF33DD-93F2-4820-B9BB-868C17FD0A5D}">
          <x14:formula1>
            <xm:f>【管理用】プルダウン!$D$3:$D$9</xm:f>
          </x14:formula1>
          <xm:sqref>G5:G102</xm:sqref>
        </x14:dataValidation>
        <x14:dataValidation type="list" allowBlank="1" showInputMessage="1" showErrorMessage="1" xr:uid="{CDFEB697-D1B9-4373-AC6B-0A00A1C34204}">
          <x14:formula1>
            <xm:f>【管理用】プルダウン!$B$3:$B$7</xm:f>
          </x14:formula1>
          <xm:sqref>F5:F102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A5D78-EC41-4202-B43E-955FC065AA2B}">
  <dimension ref="A1:AP151"/>
  <sheetViews>
    <sheetView showGridLines="0" tabSelected="1" zoomScale="80" zoomScaleNormal="80" workbookViewId="0">
      <pane xSplit="7" ySplit="4" topLeftCell="N91" activePane="bottomRight" state="frozen"/>
      <selection pane="topRight" activeCell="H1" sqref="H1"/>
      <selection pane="bottomLeft" activeCell="A5" sqref="A5"/>
      <selection pane="bottomRight" activeCell="N103" sqref="N103"/>
    </sheetView>
  </sheetViews>
  <sheetFormatPr defaultColWidth="8.58203125" defaultRowHeight="15" outlineLevelCol="1"/>
  <cols>
    <col min="1" max="1" width="3.08203125" style="37" customWidth="1"/>
    <col min="2" max="2" width="7.58203125" style="42" bestFit="1" customWidth="1"/>
    <col min="3" max="3" width="8" style="42" bestFit="1" customWidth="1"/>
    <col min="4" max="4" width="29.08203125" style="37" bestFit="1" customWidth="1"/>
    <col min="5" max="5" width="32.5" style="37" bestFit="1" customWidth="1"/>
    <col min="6" max="6" width="53.58203125" style="37" hidden="1" customWidth="1" outlineLevel="1"/>
    <col min="7" max="7" width="12.08203125" style="37" bestFit="1" customWidth="1" collapsed="1"/>
    <col min="8" max="8" width="8.08203125" style="37" bestFit="1" customWidth="1"/>
    <col min="9" max="9" width="12.08203125" style="38" customWidth="1"/>
    <col min="10" max="10" width="11.08203125" style="38" customWidth="1" outlineLevel="1"/>
    <col min="11" max="11" width="10.58203125" style="38" customWidth="1"/>
    <col min="12" max="12" width="8.08203125" style="38" bestFit="1" customWidth="1"/>
    <col min="13" max="13" width="7.5" style="38" bestFit="1" customWidth="1"/>
    <col min="14" max="14" width="7.08203125" style="42" bestFit="1" customWidth="1"/>
    <col min="15" max="26" width="7" style="42" customWidth="1"/>
    <col min="27" max="38" width="7" style="37" customWidth="1" outlineLevel="1"/>
    <col min="39" max="39" width="10.08203125" style="38" customWidth="1" outlineLevel="1"/>
    <col min="40" max="16384" width="8.58203125" style="37"/>
  </cols>
  <sheetData>
    <row r="1" spans="1:42">
      <c r="A1" s="40" t="s">
        <v>464</v>
      </c>
    </row>
    <row r="2" spans="1:42">
      <c r="N2" s="40" t="s">
        <v>465</v>
      </c>
      <c r="AN2" s="91"/>
    </row>
    <row r="3" spans="1:42">
      <c r="C3" s="41" t="s">
        <v>466</v>
      </c>
      <c r="H3" s="38" t="s">
        <v>467</v>
      </c>
      <c r="J3" s="38" t="s">
        <v>468</v>
      </c>
      <c r="K3" s="38" t="s">
        <v>469</v>
      </c>
      <c r="O3" s="42" t="s">
        <v>470</v>
      </c>
      <c r="AA3" s="37" t="s">
        <v>471</v>
      </c>
    </row>
    <row r="4" spans="1:42" ht="47.9" customHeight="1">
      <c r="B4" s="48" t="s">
        <v>472</v>
      </c>
      <c r="C4" s="48" t="s">
        <v>338</v>
      </c>
      <c r="D4" s="39" t="s">
        <v>339</v>
      </c>
      <c r="E4" s="39" t="s">
        <v>340</v>
      </c>
      <c r="F4" s="39" t="s">
        <v>473</v>
      </c>
      <c r="G4" s="39" t="s">
        <v>342</v>
      </c>
      <c r="H4" s="39" t="s">
        <v>343</v>
      </c>
      <c r="I4" s="51" t="s">
        <v>474</v>
      </c>
      <c r="J4" s="51" t="s">
        <v>346</v>
      </c>
      <c r="K4" s="51" t="s">
        <v>475</v>
      </c>
      <c r="L4" s="51" t="s">
        <v>348</v>
      </c>
      <c r="M4" s="51" t="s">
        <v>349</v>
      </c>
      <c r="N4" s="48" t="s">
        <v>476</v>
      </c>
      <c r="O4" s="48" t="s">
        <v>350</v>
      </c>
      <c r="P4" s="48" t="s">
        <v>351</v>
      </c>
      <c r="Q4" s="48" t="s">
        <v>352</v>
      </c>
      <c r="R4" s="48" t="s">
        <v>353</v>
      </c>
      <c r="S4" s="48" t="s">
        <v>354</v>
      </c>
      <c r="T4" s="48" t="s">
        <v>6</v>
      </c>
      <c r="U4" s="48" t="s">
        <v>7</v>
      </c>
      <c r="V4" s="48" t="s">
        <v>8</v>
      </c>
      <c r="W4" s="48" t="s">
        <v>9</v>
      </c>
      <c r="X4" s="48" t="s">
        <v>10</v>
      </c>
      <c r="Y4" s="48" t="s">
        <v>11</v>
      </c>
      <c r="Z4" s="48" t="s">
        <v>12</v>
      </c>
      <c r="AA4" s="39" t="s">
        <v>350</v>
      </c>
      <c r="AB4" s="39" t="s">
        <v>351</v>
      </c>
      <c r="AC4" s="39" t="s">
        <v>352</v>
      </c>
      <c r="AD4" s="39" t="s">
        <v>353</v>
      </c>
      <c r="AE4" s="39" t="s">
        <v>354</v>
      </c>
      <c r="AF4" s="39" t="s">
        <v>6</v>
      </c>
      <c r="AG4" s="39" t="s">
        <v>7</v>
      </c>
      <c r="AH4" s="39" t="s">
        <v>8</v>
      </c>
      <c r="AI4" s="39" t="s">
        <v>9</v>
      </c>
      <c r="AJ4" s="39" t="s">
        <v>10</v>
      </c>
      <c r="AK4" s="39" t="s">
        <v>11</v>
      </c>
      <c r="AL4" s="39" t="s">
        <v>12</v>
      </c>
      <c r="AM4" s="53" t="s">
        <v>477</v>
      </c>
      <c r="AN4" s="37" t="s">
        <v>355</v>
      </c>
    </row>
    <row r="5" spans="1:42">
      <c r="B5" s="45">
        <f t="shared" ref="B5:B42" si="0">ROW(A5)-4</f>
        <v>1</v>
      </c>
      <c r="C5" s="43">
        <v>1</v>
      </c>
      <c r="D5" s="12" t="str">
        <f>IFERROR(VLOOKUP($C5,'【入力用②】案件ごと売上（D案件以上）'!$B$4:$Y$1048576,2,FALSE),"-")</f>
        <v>伊藤ハム米久ホールディングス</v>
      </c>
      <c r="E5" s="12" t="str">
        <f>IFERROR(VLOOKUP($C5,'【入力用②】案件ごと売上（D案件以上）'!$B$4:$Y$1048576,3,FALSE),"-")</f>
        <v>エンゲージメント向上PJT</v>
      </c>
      <c r="F5" s="12" t="str">
        <f>IFERROR(VLOOKUP($C5,'【入力用②】案件ごと売上（D案件以上）'!$B$4:$Y$1048576,4,FALSE),"-")</f>
        <v>01_伊藤ハム米久ホールディングス_エンゲージメント向上PJT</v>
      </c>
      <c r="G5" s="12" t="str">
        <f>IFERROR(VLOOKUP($C5,'【入力用②】案件ごと売上（D案件以上）'!$B$4:$Y$1048576,5,FALSE),"-")</f>
        <v>組織開発</v>
      </c>
      <c r="H5" s="12" t="str">
        <f>IFERROR(VLOOKUP($C5,'【入力用②】案件ごと売上（D案件以上）'!$B$4:$Y$1048576,6,FALSE),"-")</f>
        <v>成立</v>
      </c>
      <c r="I5" s="13">
        <f>IFERROR(VLOOKUP($C5,'【入力用②】案件ごと売上（D案件以上）'!$B$4:$Y$1048576,8,FALSE),"-")</f>
        <v>550</v>
      </c>
      <c r="J5" s="13">
        <f t="shared" ref="J5:J39" si="1">SUMIF($C$5:$C$1048576,C5,$AM$5:$AM$1048576)</f>
        <v>549.79999999999995</v>
      </c>
      <c r="K5" s="57">
        <f>IFERROR(I5-J5,"-")</f>
        <v>0.20000000000004547</v>
      </c>
      <c r="L5" s="13">
        <f>IFERROR(VLOOKUP($C5,'【入力用②】案件ごと売上（D案件以上）'!$B$4:$Y$1048576,11,FALSE),"-")</f>
        <v>1</v>
      </c>
      <c r="M5" s="13">
        <f t="shared" ref="M5:M54" si="2">IFERROR(I5/L5,"-")</f>
        <v>550</v>
      </c>
      <c r="N5" s="43" t="s">
        <v>478</v>
      </c>
      <c r="O5" s="54">
        <v>0.19600000000000001</v>
      </c>
      <c r="P5" s="54"/>
      <c r="Q5" s="54"/>
      <c r="R5" s="54"/>
      <c r="S5" s="54"/>
      <c r="T5" s="54"/>
      <c r="U5" s="54"/>
      <c r="V5" s="54"/>
      <c r="W5" s="54"/>
      <c r="X5" s="54"/>
      <c r="Y5" s="54"/>
      <c r="Z5" s="54"/>
      <c r="AA5" s="13">
        <f>IFERROR(VLOOKUP($N5,【管理用】BR_260204!$B$3:$D$20,3,FALSE)*O5,"-")</f>
        <v>499.8</v>
      </c>
      <c r="AB5" s="13">
        <f>IFERROR(VLOOKUP($N5,【管理用】BR_260204!$B$3:$D$20,3,FALSE)*P5,"-")</f>
        <v>0</v>
      </c>
      <c r="AC5" s="13">
        <f>IFERROR(VLOOKUP($N5,【管理用】BR_260204!$B$3:$D$20,3,FALSE)*Q5,"-")</f>
        <v>0</v>
      </c>
      <c r="AD5" s="13">
        <f>IFERROR(VLOOKUP($N5,【管理用】BR_260204!$B$3:$D$20,3,FALSE)*R5,"-")</f>
        <v>0</v>
      </c>
      <c r="AE5" s="13">
        <f>IFERROR(VLOOKUP($N5,【管理用】BR_260204!$B$3:$D$20,3,FALSE)*S5,"-")</f>
        <v>0</v>
      </c>
      <c r="AF5" s="13">
        <f>IFERROR(VLOOKUP($N5,【管理用】BR_260204!$B$3:$D$20,3,FALSE)*T5,"-")</f>
        <v>0</v>
      </c>
      <c r="AG5" s="13">
        <f>IFERROR(VLOOKUP($N5,【管理用】BR_260204!$B$3:$D$20,3,FALSE)*U5,"-")</f>
        <v>0</v>
      </c>
      <c r="AH5" s="13">
        <f>IFERROR(VLOOKUP($N5,【管理用】BR_260204!$B$3:$D$20,3,FALSE)*V5,"-")</f>
        <v>0</v>
      </c>
      <c r="AI5" s="13">
        <f>IFERROR(VLOOKUP($N5,【管理用】BR_260204!$B$3:$D$20,3,FALSE)*W5,"-")</f>
        <v>0</v>
      </c>
      <c r="AJ5" s="13">
        <f>IFERROR(VLOOKUP($N5,【管理用】BR_260204!$B$3:$D$20,3,FALSE)*X5,"-")</f>
        <v>0</v>
      </c>
      <c r="AK5" s="13">
        <f>IFERROR(VLOOKUP($N5,【管理用】BR_260204!$B$3:$D$20,3,FALSE)*Y5,"-")</f>
        <v>0</v>
      </c>
      <c r="AL5" s="13">
        <f>IFERROR(VLOOKUP($N5,【管理用】BR_260204!$B$3:$D$20,3,FALSE)*Z5,"-")</f>
        <v>0</v>
      </c>
      <c r="AM5" s="13">
        <f>SUM(AA5:AL5)</f>
        <v>499.8</v>
      </c>
      <c r="AN5" s="37" t="s">
        <v>355</v>
      </c>
      <c r="AP5" s="91"/>
    </row>
    <row r="6" spans="1:42">
      <c r="B6" s="45">
        <f t="shared" si="0"/>
        <v>2</v>
      </c>
      <c r="C6" s="43">
        <v>1</v>
      </c>
      <c r="D6" s="12" t="str">
        <f>IFERROR(VLOOKUP($C6,'【入力用②】案件ごと売上（D案件以上）'!$B$4:$Y$1048576,2,FALSE),"-")</f>
        <v>伊藤ハム米久ホールディングス</v>
      </c>
      <c r="E6" s="12" t="str">
        <f>IFERROR(VLOOKUP($C6,'【入力用②】案件ごと売上（D案件以上）'!$B$4:$Y$1048576,3,FALSE),"-")</f>
        <v>エンゲージメント向上PJT</v>
      </c>
      <c r="F6" s="12" t="str">
        <f>IFERROR(VLOOKUP($C6,'【入力用②】案件ごと売上（D案件以上）'!$B$4:$Y$1048576,4,FALSE),"-")</f>
        <v>01_伊藤ハム米久ホールディングス_エンゲージメント向上PJT</v>
      </c>
      <c r="G6" s="12" t="str">
        <f>IFERROR(VLOOKUP($C6,'【入力用②】案件ごと売上（D案件以上）'!$B$4:$Y$1048576,5,FALSE),"-")</f>
        <v>組織開発</v>
      </c>
      <c r="H6" s="12" t="str">
        <f>IFERROR(VLOOKUP($C6,'【入力用②】案件ごと売上（D案件以上）'!$B$4:$Y$1048576,6,FALSE),"-")</f>
        <v>成立</v>
      </c>
      <c r="I6" s="13">
        <f>IFERROR(VLOOKUP($C6,'【入力用②】案件ごと売上（D案件以上）'!$B$4:$Y$1048576,8,FALSE),"-")</f>
        <v>550</v>
      </c>
      <c r="J6" s="13">
        <f t="shared" si="1"/>
        <v>549.79999999999995</v>
      </c>
      <c r="K6" s="57">
        <f t="shared" ref="K6:K75" si="3">IFERROR(I6-J6,"-")</f>
        <v>0.20000000000004547</v>
      </c>
      <c r="L6" s="13">
        <f>IFERROR(VLOOKUP($C6,'【入力用②】案件ごと売上（D案件以上）'!$B$4:$Y$1048576,11,FALSE),"-")</f>
        <v>1</v>
      </c>
      <c r="M6" s="13">
        <f t="shared" si="2"/>
        <v>550</v>
      </c>
      <c r="N6" s="43" t="s">
        <v>479</v>
      </c>
      <c r="O6" s="54">
        <v>0.05</v>
      </c>
      <c r="P6" s="54"/>
      <c r="Q6" s="54"/>
      <c r="R6" s="54"/>
      <c r="S6" s="54"/>
      <c r="T6" s="54"/>
      <c r="U6" s="54"/>
      <c r="V6" s="54"/>
      <c r="W6" s="54"/>
      <c r="X6" s="54"/>
      <c r="Y6" s="54"/>
      <c r="Z6" s="54"/>
      <c r="AA6" s="13">
        <f>IFERROR(VLOOKUP($N6,【管理用】BR_260204!$B$3:$D$20,3,FALSE)*O6,"-")</f>
        <v>50</v>
      </c>
      <c r="AB6" s="13">
        <f>IFERROR(VLOOKUP($N6,【管理用】BR_260204!$B$3:$D$20,3,FALSE)*P6,"-")</f>
        <v>0</v>
      </c>
      <c r="AC6" s="13">
        <f>IFERROR(VLOOKUP($N6,【管理用】BR_260204!$B$3:$D$20,3,FALSE)*Q6,"-")</f>
        <v>0</v>
      </c>
      <c r="AD6" s="13">
        <f>IFERROR(VLOOKUP($N6,【管理用】BR_260204!$B$3:$D$20,3,FALSE)*R6,"-")</f>
        <v>0</v>
      </c>
      <c r="AE6" s="13">
        <f>IFERROR(VLOOKUP($N6,【管理用】BR_260204!$B$3:$D$20,3,FALSE)*S6,"-")</f>
        <v>0</v>
      </c>
      <c r="AF6" s="13">
        <f>IFERROR(VLOOKUP($N6,【管理用】BR_260204!$B$3:$D$20,3,FALSE)*T6,"-")</f>
        <v>0</v>
      </c>
      <c r="AG6" s="13">
        <f>IFERROR(VLOOKUP($N6,【管理用】BR_260204!$B$3:$D$20,3,FALSE)*U6,"-")</f>
        <v>0</v>
      </c>
      <c r="AH6" s="13">
        <f>IFERROR(VLOOKUP($N6,【管理用】BR_260204!$B$3:$D$20,3,FALSE)*V6,"-")</f>
        <v>0</v>
      </c>
      <c r="AI6" s="13">
        <f>IFERROR(VLOOKUP($N6,【管理用】BR_260204!$B$3:$D$20,3,FALSE)*W6,"-")</f>
        <v>0</v>
      </c>
      <c r="AJ6" s="13">
        <f>IFERROR(VLOOKUP($N6,【管理用】BR_260204!$B$3:$D$20,3,FALSE)*X6,"-")</f>
        <v>0</v>
      </c>
      <c r="AK6" s="13">
        <f>IFERROR(VLOOKUP($N6,【管理用】BR_260204!$B$3:$D$20,3,FALSE)*Y6,"-")</f>
        <v>0</v>
      </c>
      <c r="AL6" s="13">
        <f>IFERROR(VLOOKUP($N6,【管理用】BR_260204!$B$3:$D$20,3,FALSE)*Z6,"-")</f>
        <v>0</v>
      </c>
      <c r="AM6" s="13">
        <f>SUM(AA6:AL6)</f>
        <v>50</v>
      </c>
      <c r="AN6" s="37" t="s">
        <v>355</v>
      </c>
      <c r="AP6" s="91"/>
    </row>
    <row r="7" spans="1:42">
      <c r="B7" s="45">
        <f t="shared" si="0"/>
        <v>3</v>
      </c>
      <c r="C7" s="43">
        <v>2</v>
      </c>
      <c r="D7" s="12" t="str">
        <f>IFERROR(VLOOKUP($C7,'【入力用②】案件ごと売上（D案件以上）'!$B$4:$Y$1048576,2,FALSE),"-")</f>
        <v>パラドックス</v>
      </c>
      <c r="E7" s="12" t="str">
        <f>IFERROR(VLOOKUP($C7,'【入力用②】案件ごと売上（D案件以上）'!$B$4:$Y$1048576,3,FALSE),"-")</f>
        <v>森の歩き方実装支援</v>
      </c>
      <c r="F7" s="12" t="str">
        <f>IFERROR(VLOOKUP($C7,'【入力用②】案件ごと売上（D案件以上）'!$B$4:$Y$1048576,4,FALSE),"-")</f>
        <v>02_パラドックス_森の歩き方実装支援</v>
      </c>
      <c r="G7" s="12" t="str">
        <f>IFERROR(VLOOKUP($C7,'【入力用②】案件ごと売上（D案件以上）'!$B$4:$Y$1048576,5,FALSE),"-")</f>
        <v>人材育成</v>
      </c>
      <c r="H7" s="12" t="str">
        <f>IFERROR(VLOOKUP($C7,'【入力用②】案件ごと売上（D案件以上）'!$B$4:$Y$1048576,6,FALSE),"-")</f>
        <v>成立</v>
      </c>
      <c r="I7" s="13">
        <f>IFERROR(VLOOKUP($C7,'【入力用②】案件ごと売上（D案件以上）'!$B$4:$Y$1048576,8,FALSE),"-")</f>
        <v>300</v>
      </c>
      <c r="J7" s="13">
        <f t="shared" si="1"/>
        <v>300.02500000000003</v>
      </c>
      <c r="K7" s="57">
        <f t="shared" si="3"/>
        <v>-2.5000000000034106E-2</v>
      </c>
      <c r="L7" s="13">
        <f>IFERROR(VLOOKUP($C7,'【入力用②】案件ごと売上（D案件以上）'!$B$4:$Y$1048576,11,FALSE),"-")</f>
        <v>1</v>
      </c>
      <c r="M7" s="13">
        <f t="shared" si="2"/>
        <v>300</v>
      </c>
      <c r="N7" s="43" t="s">
        <v>478</v>
      </c>
      <c r="O7" s="54">
        <v>9.35E-2</v>
      </c>
      <c r="P7" s="54"/>
      <c r="Q7" s="54"/>
      <c r="R7" s="54"/>
      <c r="S7" s="54"/>
      <c r="T7" s="54"/>
      <c r="U7" s="54"/>
      <c r="V7" s="54"/>
      <c r="W7" s="54"/>
      <c r="X7" s="54"/>
      <c r="Y7" s="54"/>
      <c r="Z7" s="54"/>
      <c r="AA7" s="13">
        <f>IFERROR(VLOOKUP($N7,【管理用】BR_260204!$B$3:$D$20,3,FALSE)*O7,"-")</f>
        <v>238.42500000000001</v>
      </c>
      <c r="AB7" s="13">
        <f>IFERROR(VLOOKUP($N7,【管理用】BR_260204!$B$3:$D$20,3,FALSE)*P7,"-")</f>
        <v>0</v>
      </c>
      <c r="AC7" s="13">
        <f>IFERROR(VLOOKUP($N7,【管理用】BR_260204!$B$3:$D$20,3,FALSE)*Q7,"-")</f>
        <v>0</v>
      </c>
      <c r="AD7" s="13">
        <f>IFERROR(VLOOKUP($N7,【管理用】BR_260204!$B$3:$D$20,3,FALSE)*R7,"-")</f>
        <v>0</v>
      </c>
      <c r="AE7" s="13">
        <f>IFERROR(VLOOKUP($N7,【管理用】BR_260204!$B$3:$D$20,3,FALSE)*S7,"-")</f>
        <v>0</v>
      </c>
      <c r="AF7" s="13">
        <f>IFERROR(VLOOKUP($N7,【管理用】BR_260204!$B$3:$D$20,3,FALSE)*T7,"-")</f>
        <v>0</v>
      </c>
      <c r="AG7" s="13">
        <f>IFERROR(VLOOKUP($N7,【管理用】BR_260204!$B$3:$D$20,3,FALSE)*U7,"-")</f>
        <v>0</v>
      </c>
      <c r="AH7" s="13">
        <f>IFERROR(VLOOKUP($N7,【管理用】BR_260204!$B$3:$D$20,3,FALSE)*V7,"-")</f>
        <v>0</v>
      </c>
      <c r="AI7" s="13">
        <f>IFERROR(VLOOKUP($N7,【管理用】BR_260204!$B$3:$D$20,3,FALSE)*W7,"-")</f>
        <v>0</v>
      </c>
      <c r="AJ7" s="13">
        <f>IFERROR(VLOOKUP($N7,【管理用】BR_260204!$B$3:$D$20,3,FALSE)*X7,"-")</f>
        <v>0</v>
      </c>
      <c r="AK7" s="13">
        <f>IFERROR(VLOOKUP($N7,【管理用】BR_260204!$B$3:$D$20,3,FALSE)*Y7,"-")</f>
        <v>0</v>
      </c>
      <c r="AL7" s="13">
        <f>IFERROR(VLOOKUP($N7,【管理用】BR_260204!$B$3:$D$20,3,FALSE)*Z7,"-")</f>
        <v>0</v>
      </c>
      <c r="AM7" s="13">
        <f t="shared" ref="AM7:AM58" si="4">SUM(AA7:AL7)</f>
        <v>238.42500000000001</v>
      </c>
      <c r="AN7" s="37" t="s">
        <v>355</v>
      </c>
      <c r="AP7" s="91"/>
    </row>
    <row r="8" spans="1:42">
      <c r="B8" s="45">
        <f t="shared" si="0"/>
        <v>4</v>
      </c>
      <c r="C8" s="43">
        <v>2</v>
      </c>
      <c r="D8" s="12" t="str">
        <f>IFERROR(VLOOKUP($C8,'【入力用②】案件ごと売上（D案件以上）'!$B$4:$Y$1048576,2,FALSE),"-")</f>
        <v>パラドックス</v>
      </c>
      <c r="E8" s="12" t="str">
        <f>IFERROR(VLOOKUP($C8,'【入力用②】案件ごと売上（D案件以上）'!$B$4:$Y$1048576,3,FALSE),"-")</f>
        <v>森の歩き方実装支援</v>
      </c>
      <c r="F8" s="12" t="str">
        <f>IFERROR(VLOOKUP($C8,'【入力用②】案件ごと売上（D案件以上）'!$B$4:$Y$1048576,4,FALSE),"-")</f>
        <v>02_パラドックス_森の歩き方実装支援</v>
      </c>
      <c r="G8" s="12" t="str">
        <f>IFERROR(VLOOKUP($C8,'【入力用②】案件ごと売上（D案件以上）'!$B$4:$Y$1048576,5,FALSE),"-")</f>
        <v>人材育成</v>
      </c>
      <c r="H8" s="12" t="str">
        <f>IFERROR(VLOOKUP($C8,'【入力用②】案件ごと売上（D案件以上）'!$B$4:$Y$1048576,6,FALSE),"-")</f>
        <v>成立</v>
      </c>
      <c r="I8" s="13">
        <f>IFERROR(VLOOKUP($C8,'【入力用②】案件ごと売上（D案件以上）'!$B$4:$Y$1048576,8,FALSE),"-")</f>
        <v>300</v>
      </c>
      <c r="J8" s="13">
        <f t="shared" si="1"/>
        <v>300.02500000000003</v>
      </c>
      <c r="K8" s="57">
        <f t="shared" si="3"/>
        <v>-2.5000000000034106E-2</v>
      </c>
      <c r="L8" s="13">
        <f>IFERROR(VLOOKUP($C8,'【入力用②】案件ごと売上（D案件以上）'!$B$4:$Y$1048576,11,FALSE),"-")</f>
        <v>1</v>
      </c>
      <c r="M8" s="13">
        <f t="shared" si="2"/>
        <v>300</v>
      </c>
      <c r="N8" s="43" t="s">
        <v>480</v>
      </c>
      <c r="O8" s="54">
        <v>0.01</v>
      </c>
      <c r="P8" s="54"/>
      <c r="Q8" s="54"/>
      <c r="R8" s="54"/>
      <c r="S8" s="54"/>
      <c r="T8" s="54"/>
      <c r="U8" s="54"/>
      <c r="V8" s="54"/>
      <c r="W8" s="54"/>
      <c r="X8" s="54"/>
      <c r="Y8" s="54"/>
      <c r="Z8" s="54"/>
      <c r="AA8" s="13">
        <f>IFERROR(VLOOKUP($N8,【管理用】BR_260204!$B$3:$D$20,3,FALSE)*O8,"-")</f>
        <v>61.6</v>
      </c>
      <c r="AB8" s="13">
        <f>IFERROR(VLOOKUP($N8,【管理用】BR_260204!$B$3:$D$20,3,FALSE)*P8,"-")</f>
        <v>0</v>
      </c>
      <c r="AC8" s="13">
        <f>IFERROR(VLOOKUP($N8,【管理用】BR_260204!$B$3:$D$20,3,FALSE)*Q8,"-")</f>
        <v>0</v>
      </c>
      <c r="AD8" s="13">
        <f>IFERROR(VLOOKUP($N8,【管理用】BR_260204!$B$3:$D$20,3,FALSE)*R8,"-")</f>
        <v>0</v>
      </c>
      <c r="AE8" s="13">
        <f>IFERROR(VLOOKUP($N8,【管理用】BR_260204!$B$3:$D$20,3,FALSE)*S8,"-")</f>
        <v>0</v>
      </c>
      <c r="AF8" s="13">
        <f>IFERROR(VLOOKUP($N8,【管理用】BR_260204!$B$3:$D$20,3,FALSE)*T8,"-")</f>
        <v>0</v>
      </c>
      <c r="AG8" s="13">
        <f>IFERROR(VLOOKUP($N8,【管理用】BR_260204!$B$3:$D$20,3,FALSE)*U8,"-")</f>
        <v>0</v>
      </c>
      <c r="AH8" s="13">
        <f>IFERROR(VLOOKUP($N8,【管理用】BR_260204!$B$3:$D$20,3,FALSE)*V8,"-")</f>
        <v>0</v>
      </c>
      <c r="AI8" s="13">
        <f>IFERROR(VLOOKUP($N8,【管理用】BR_260204!$B$3:$D$20,3,FALSE)*W8,"-")</f>
        <v>0</v>
      </c>
      <c r="AJ8" s="13">
        <f>IFERROR(VLOOKUP($N8,【管理用】BR_260204!$B$3:$D$20,3,FALSE)*X8,"-")</f>
        <v>0</v>
      </c>
      <c r="AK8" s="13">
        <f>IFERROR(VLOOKUP($N8,【管理用】BR_260204!$B$3:$D$20,3,FALSE)*Y8,"-")</f>
        <v>0</v>
      </c>
      <c r="AL8" s="13">
        <f>IFERROR(VLOOKUP($N8,【管理用】BR_260204!$B$3:$D$20,3,FALSE)*Z8,"-")</f>
        <v>0</v>
      </c>
      <c r="AM8" s="13">
        <f t="shared" si="4"/>
        <v>61.6</v>
      </c>
      <c r="AN8" s="37" t="s">
        <v>355</v>
      </c>
      <c r="AP8" s="91"/>
    </row>
    <row r="9" spans="1:42">
      <c r="B9" s="45">
        <f t="shared" si="0"/>
        <v>5</v>
      </c>
      <c r="C9" s="43">
        <v>3</v>
      </c>
      <c r="D9" s="12" t="str">
        <f>IFERROR(VLOOKUP($C9,'【入力用②】案件ごと売上（D案件以上）'!$B$4:$Y$1048576,2,FALSE),"-")</f>
        <v>日本総研</v>
      </c>
      <c r="E9" s="12" t="str">
        <f>IFERROR(VLOOKUP($C9,'【入力用②】案件ごと売上（D案件以上）'!$B$4:$Y$1048576,3,FALSE),"-")</f>
        <v>キャリア入社者課題分析</v>
      </c>
      <c r="F9" s="12" t="str">
        <f>IFERROR(VLOOKUP($C9,'【入力用②】案件ごと売上（D案件以上）'!$B$4:$Y$1048576,4,FALSE),"-")</f>
        <v>03_日本総研_キャリア入社者課題分析</v>
      </c>
      <c r="G9" s="12" t="str">
        <f>IFERROR(VLOOKUP($C9,'【入力用②】案件ごと売上（D案件以上）'!$B$4:$Y$1048576,5,FALSE),"-")</f>
        <v>人材育成</v>
      </c>
      <c r="H9" s="12" t="str">
        <f>IFERROR(VLOOKUP($C9,'【入力用②】案件ごと売上（D案件以上）'!$B$4:$Y$1048576,6,FALSE),"-")</f>
        <v>成立</v>
      </c>
      <c r="I9" s="13">
        <f>IFERROR(VLOOKUP($C9,'【入力用②】案件ごと売上（D案件以上）'!$B$4:$Y$1048576,8,FALSE),"-")</f>
        <v>600</v>
      </c>
      <c r="J9" s="13">
        <f t="shared" si="1"/>
        <v>599.505</v>
      </c>
      <c r="K9" s="57">
        <f t="shared" si="3"/>
        <v>0.49500000000000455</v>
      </c>
      <c r="L9" s="13">
        <f>IFERROR(VLOOKUP($C9,'【入力用②】案件ごと売上（D案件以上）'!$B$4:$Y$1048576,11,FALSE),"-")</f>
        <v>1</v>
      </c>
      <c r="M9" s="13">
        <f t="shared" si="2"/>
        <v>600</v>
      </c>
      <c r="N9" s="43" t="s">
        <v>478</v>
      </c>
      <c r="O9" s="54">
        <v>0.2351</v>
      </c>
      <c r="P9" s="54"/>
      <c r="Q9" s="54"/>
      <c r="R9" s="54"/>
      <c r="S9" s="54"/>
      <c r="T9" s="54"/>
      <c r="U9" s="54"/>
      <c r="V9" s="54"/>
      <c r="W9" s="54"/>
      <c r="X9" s="54"/>
      <c r="Y9" s="54"/>
      <c r="Z9" s="54"/>
      <c r="AA9" s="13">
        <f>IFERROR(VLOOKUP($N9,【管理用】BR_260204!$B$3:$D$20,3,FALSE)*O9,"-")</f>
        <v>599.505</v>
      </c>
      <c r="AB9" s="13">
        <f>IFERROR(VLOOKUP($N9,【管理用】BR_260204!$B$3:$D$20,3,FALSE)*P9,"-")</f>
        <v>0</v>
      </c>
      <c r="AC9" s="13">
        <f>IFERROR(VLOOKUP($N9,【管理用】BR_260204!$B$3:$D$20,3,FALSE)*Q9,"-")</f>
        <v>0</v>
      </c>
      <c r="AD9" s="13">
        <f>IFERROR(VLOOKUP($N9,【管理用】BR_260204!$B$3:$D$20,3,FALSE)*R9,"-")</f>
        <v>0</v>
      </c>
      <c r="AE9" s="13">
        <f>IFERROR(VLOOKUP($N9,【管理用】BR_260204!$B$3:$D$20,3,FALSE)*S9,"-")</f>
        <v>0</v>
      </c>
      <c r="AF9" s="13">
        <f>IFERROR(VLOOKUP($N9,【管理用】BR_260204!$B$3:$D$20,3,FALSE)*T9,"-")</f>
        <v>0</v>
      </c>
      <c r="AG9" s="13">
        <f>IFERROR(VLOOKUP($N9,【管理用】BR_260204!$B$3:$D$20,3,FALSE)*U9,"-")</f>
        <v>0</v>
      </c>
      <c r="AH9" s="13">
        <f>IFERROR(VLOOKUP($N9,【管理用】BR_260204!$B$3:$D$20,3,FALSE)*V9,"-")</f>
        <v>0</v>
      </c>
      <c r="AI9" s="13">
        <f>IFERROR(VLOOKUP($N9,【管理用】BR_260204!$B$3:$D$20,3,FALSE)*W9,"-")</f>
        <v>0</v>
      </c>
      <c r="AJ9" s="13">
        <f>IFERROR(VLOOKUP($N9,【管理用】BR_260204!$B$3:$D$20,3,FALSE)*X9,"-")</f>
        <v>0</v>
      </c>
      <c r="AK9" s="13">
        <f>IFERROR(VLOOKUP($N9,【管理用】BR_260204!$B$3:$D$20,3,FALSE)*Y9,"-")</f>
        <v>0</v>
      </c>
      <c r="AL9" s="13">
        <f>IFERROR(VLOOKUP($N9,【管理用】BR_260204!$B$3:$D$20,3,FALSE)*Z9,"-")</f>
        <v>0</v>
      </c>
      <c r="AM9" s="13">
        <f t="shared" si="4"/>
        <v>599.505</v>
      </c>
      <c r="AN9" s="37" t="s">
        <v>355</v>
      </c>
      <c r="AP9" s="91"/>
    </row>
    <row r="10" spans="1:42">
      <c r="B10" s="45">
        <f t="shared" si="0"/>
        <v>6</v>
      </c>
      <c r="C10" s="43">
        <v>4</v>
      </c>
      <c r="D10" s="12" t="str">
        <f>IFERROR(VLOOKUP($C10,'【入力用②】案件ごと売上（D案件以上）'!$B$4:$Y$1048576,2,FALSE),"-")</f>
        <v>田島ルーフィング</v>
      </c>
      <c r="E10" s="12" t="str">
        <f>IFERROR(VLOOKUP($C10,'【入力用②】案件ごと売上（D案件以上）'!$B$4:$Y$1048576,3,FALSE),"-")</f>
        <v>推せる職場診断</v>
      </c>
      <c r="F10" s="12" t="str">
        <f>IFERROR(VLOOKUP($C10,'【入力用②】案件ごと売上（D案件以上）'!$B$4:$Y$1048576,4,FALSE),"-")</f>
        <v>04_田島ルーフィング_推せる職場診断</v>
      </c>
      <c r="G10" s="12" t="str">
        <f>IFERROR(VLOOKUP($C10,'【入力用②】案件ごと売上（D案件以上）'!$B$4:$Y$1048576,5,FALSE),"-")</f>
        <v>組織開発</v>
      </c>
      <c r="H10" s="12" t="str">
        <f>IFERROR(VLOOKUP($C10,'【入力用②】案件ごと売上（D案件以上）'!$B$4:$Y$1048576,6,FALSE),"-")</f>
        <v>D</v>
      </c>
      <c r="I10" s="13">
        <f>IFERROR(VLOOKUP($C10,'【入力用②】案件ごと売上（D案件以上）'!$B$4:$Y$1048576,8,FALSE),"-")</f>
        <v>0</v>
      </c>
      <c r="J10" s="13">
        <f t="shared" si="1"/>
        <v>1963.5</v>
      </c>
      <c r="K10" s="57">
        <f t="shared" si="3"/>
        <v>-1963.5</v>
      </c>
      <c r="L10" s="13">
        <f>IFERROR(VLOOKUP($C10,'【入力用②】案件ごと売上（D案件以上）'!$B$4:$Y$1048576,11,FALSE),"-")</f>
        <v>0</v>
      </c>
      <c r="M10" s="13" t="str">
        <f t="shared" si="2"/>
        <v>-</v>
      </c>
      <c r="N10" s="43" t="s">
        <v>478</v>
      </c>
      <c r="O10" s="54"/>
      <c r="P10" s="54">
        <v>0.77</v>
      </c>
      <c r="Q10" s="54"/>
      <c r="R10" s="54"/>
      <c r="S10" s="54"/>
      <c r="T10" s="54"/>
      <c r="U10" s="54"/>
      <c r="V10" s="54"/>
      <c r="W10" s="54"/>
      <c r="X10" s="54"/>
      <c r="Y10" s="54"/>
      <c r="Z10" s="54"/>
      <c r="AA10" s="13">
        <f>IFERROR(VLOOKUP($N10,【管理用】BR_260204!$B$3:$D$20,3,FALSE)*O10,"-")</f>
        <v>0</v>
      </c>
      <c r="AB10" s="13">
        <f>IFERROR(VLOOKUP($N10,【管理用】BR_260204!$B$3:$D$20,3,FALSE)*P10,"-")</f>
        <v>1963.5</v>
      </c>
      <c r="AC10" s="13">
        <f>IFERROR(VLOOKUP($N10,【管理用】BR_260204!$B$3:$D$20,3,FALSE)*Q10,"-")</f>
        <v>0</v>
      </c>
      <c r="AD10" s="13">
        <f>IFERROR(VLOOKUP($N10,【管理用】BR_260204!$B$3:$D$20,3,FALSE)*R10,"-")</f>
        <v>0</v>
      </c>
      <c r="AE10" s="13">
        <f>IFERROR(VLOOKUP($N10,【管理用】BR_260204!$B$3:$D$20,3,FALSE)*S10,"-")</f>
        <v>0</v>
      </c>
      <c r="AF10" s="13">
        <f>IFERROR(VLOOKUP($N10,【管理用】BR_260204!$B$3:$D$20,3,FALSE)*T10,"-")</f>
        <v>0</v>
      </c>
      <c r="AG10" s="13">
        <f>IFERROR(VLOOKUP($N10,【管理用】BR_260204!$B$3:$D$20,3,FALSE)*U10,"-")</f>
        <v>0</v>
      </c>
      <c r="AH10" s="13">
        <f>IFERROR(VLOOKUP($N10,【管理用】BR_260204!$B$3:$D$20,3,FALSE)*V10,"-")</f>
        <v>0</v>
      </c>
      <c r="AI10" s="13">
        <f>IFERROR(VLOOKUP($N10,【管理用】BR_260204!$B$3:$D$20,3,FALSE)*W10,"-")</f>
        <v>0</v>
      </c>
      <c r="AJ10" s="13">
        <f>IFERROR(VLOOKUP($N10,【管理用】BR_260204!$B$3:$D$20,3,FALSE)*X10,"-")</f>
        <v>0</v>
      </c>
      <c r="AK10" s="13">
        <f>IFERROR(VLOOKUP($N10,【管理用】BR_260204!$B$3:$D$20,3,FALSE)*Y10,"-")</f>
        <v>0</v>
      </c>
      <c r="AL10" s="13">
        <f>IFERROR(VLOOKUP($N10,【管理用】BR_260204!$B$3:$D$20,3,FALSE)*Z10,"-")</f>
        <v>0</v>
      </c>
      <c r="AM10" s="13">
        <f t="shared" si="4"/>
        <v>1963.5</v>
      </c>
      <c r="AN10" s="37" t="s">
        <v>355</v>
      </c>
      <c r="AP10" s="91"/>
    </row>
    <row r="11" spans="1:42">
      <c r="B11" s="45">
        <f t="shared" si="0"/>
        <v>7</v>
      </c>
      <c r="C11" s="43">
        <v>5</v>
      </c>
      <c r="D11" s="12" t="str">
        <f>IFERROR(VLOOKUP($C11,'【入力用②】案件ごと売上（D案件以上）'!$B$4:$Y$1048576,2,FALSE),"-")</f>
        <v>YAMAGATA</v>
      </c>
      <c r="E11" s="12" t="str">
        <f>IFERROR(VLOOKUP($C11,'【入力用②】案件ごと売上（D案件以上）'!$B$4:$Y$1048576,3,FALSE),"-")</f>
        <v>新事業立ち上げ支援</v>
      </c>
      <c r="F11" s="12" t="str">
        <f>IFERROR(VLOOKUP($C11,'【入力用②】案件ごと売上（D案件以上）'!$B$4:$Y$1048576,4,FALSE),"-")</f>
        <v>05_YAMAGATA_新事業立ち上げ支援</v>
      </c>
      <c r="G11" s="12" t="str">
        <f>IFERROR(VLOOKUP($C11,'【入力用②】案件ごと売上（D案件以上）'!$B$4:$Y$1048576,5,FALSE),"-")</f>
        <v>その他</v>
      </c>
      <c r="H11" s="12" t="str">
        <f>IFERROR(VLOOKUP($C11,'【入力用②】案件ごと売上（D案件以上）'!$B$4:$Y$1048576,6,FALSE),"-")</f>
        <v>成立</v>
      </c>
      <c r="I11" s="13">
        <f>IFERROR(VLOOKUP($C11,'【入力用②】案件ごと売上（D案件以上）'!$B$4:$Y$1048576,8,FALSE),"-")</f>
        <v>14500</v>
      </c>
      <c r="J11" s="13">
        <f t="shared" si="1"/>
        <v>13528</v>
      </c>
      <c r="K11" s="57">
        <f t="shared" si="3"/>
        <v>972</v>
      </c>
      <c r="L11" s="13">
        <f>IFERROR(VLOOKUP($C11,'【入力用②】案件ごと売上（D案件以上）'!$B$4:$Y$1048576,11,FALSE),"-")</f>
        <v>4</v>
      </c>
      <c r="M11" s="13">
        <f t="shared" si="2"/>
        <v>3625</v>
      </c>
      <c r="N11" s="43" t="s">
        <v>481</v>
      </c>
      <c r="O11" s="54">
        <v>0.18</v>
      </c>
      <c r="P11" s="54">
        <v>0.18</v>
      </c>
      <c r="Q11" s="54">
        <v>0.18</v>
      </c>
      <c r="R11" s="54">
        <v>0.18</v>
      </c>
      <c r="S11" s="54"/>
      <c r="T11" s="54"/>
      <c r="U11" s="54"/>
      <c r="V11" s="54"/>
      <c r="W11" s="54"/>
      <c r="X11" s="54"/>
      <c r="Y11" s="54"/>
      <c r="Z11" s="54"/>
      <c r="AA11" s="13">
        <f>IFERROR(VLOOKUP($N11,【管理用】BR_260204!$B$3:$D$20,3,FALSE)*O11,"-")</f>
        <v>1530</v>
      </c>
      <c r="AB11" s="13">
        <f>IFERROR(VLOOKUP($N11,【管理用】BR_260204!$B$3:$D$20,3,FALSE)*P11,"-")</f>
        <v>1530</v>
      </c>
      <c r="AC11" s="13">
        <f>IFERROR(VLOOKUP($N11,【管理用】BR_260204!$B$3:$D$20,3,FALSE)*Q11,"-")</f>
        <v>1530</v>
      </c>
      <c r="AD11" s="13">
        <f>IFERROR(VLOOKUP($N11,【管理用】BR_260204!$B$3:$D$20,3,FALSE)*R11,"-")</f>
        <v>1530</v>
      </c>
      <c r="AE11" s="13">
        <f>IFERROR(VLOOKUP($N11,【管理用】BR_260204!$B$3:$D$20,3,FALSE)*S11,"-")</f>
        <v>0</v>
      </c>
      <c r="AF11" s="13">
        <f>IFERROR(VLOOKUP($N11,【管理用】BR_260204!$B$3:$D$20,3,FALSE)*T11,"-")</f>
        <v>0</v>
      </c>
      <c r="AG11" s="13">
        <f>IFERROR(VLOOKUP($N11,【管理用】BR_260204!$B$3:$D$20,3,FALSE)*U11,"-")</f>
        <v>0</v>
      </c>
      <c r="AH11" s="13">
        <f>IFERROR(VLOOKUP($N11,【管理用】BR_260204!$B$3:$D$20,3,FALSE)*V11,"-")</f>
        <v>0</v>
      </c>
      <c r="AI11" s="13">
        <f>IFERROR(VLOOKUP($N11,【管理用】BR_260204!$B$3:$D$20,3,FALSE)*W11,"-")</f>
        <v>0</v>
      </c>
      <c r="AJ11" s="13">
        <f>IFERROR(VLOOKUP($N11,【管理用】BR_260204!$B$3:$D$20,3,FALSE)*X11,"-")</f>
        <v>0</v>
      </c>
      <c r="AK11" s="13">
        <f>IFERROR(VLOOKUP($N11,【管理用】BR_260204!$B$3:$D$20,3,FALSE)*Y11,"-")</f>
        <v>0</v>
      </c>
      <c r="AL11" s="13">
        <f>IFERROR(VLOOKUP($N11,【管理用】BR_260204!$B$3:$D$20,3,FALSE)*Z11,"-")</f>
        <v>0</v>
      </c>
      <c r="AM11" s="13">
        <f t="shared" si="4"/>
        <v>6120</v>
      </c>
      <c r="AN11" s="37" t="s">
        <v>355</v>
      </c>
      <c r="AP11" s="91"/>
    </row>
    <row r="12" spans="1:42">
      <c r="B12" s="45">
        <f t="shared" si="0"/>
        <v>8</v>
      </c>
      <c r="C12" s="43">
        <v>5</v>
      </c>
      <c r="D12" s="12" t="str">
        <f>IFERROR(VLOOKUP($C12,'【入力用②】案件ごと売上（D案件以上）'!$B$4:$Y$1048576,2,FALSE),"-")</f>
        <v>YAMAGATA</v>
      </c>
      <c r="E12" s="12" t="str">
        <f>IFERROR(VLOOKUP($C12,'【入力用②】案件ごと売上（D案件以上）'!$B$4:$Y$1048576,3,FALSE),"-")</f>
        <v>新事業立ち上げ支援</v>
      </c>
      <c r="F12" s="12" t="str">
        <f>IFERROR(VLOOKUP($C12,'【入力用②】案件ごと売上（D案件以上）'!$B$4:$Y$1048576,4,FALSE),"-")</f>
        <v>05_YAMAGATA_新事業立ち上げ支援</v>
      </c>
      <c r="G12" s="12" t="str">
        <f>IFERROR(VLOOKUP($C12,'【入力用②】案件ごと売上（D案件以上）'!$B$4:$Y$1048576,5,FALSE),"-")</f>
        <v>その他</v>
      </c>
      <c r="H12" s="12" t="str">
        <f>IFERROR(VLOOKUP($C12,'【入力用②】案件ごと売上（D案件以上）'!$B$4:$Y$1048576,6,FALSE),"-")</f>
        <v>成立</v>
      </c>
      <c r="I12" s="13">
        <f>IFERROR(VLOOKUP($C12,'【入力用②】案件ごと売上（D案件以上）'!$B$4:$Y$1048576,8,FALSE),"-")</f>
        <v>14500</v>
      </c>
      <c r="J12" s="13">
        <f t="shared" si="1"/>
        <v>13528</v>
      </c>
      <c r="K12" s="57">
        <f t="shared" si="3"/>
        <v>972</v>
      </c>
      <c r="L12" s="13">
        <f>IFERROR(VLOOKUP($C12,'【入力用②】案件ごと売上（D案件以上）'!$B$4:$Y$1048576,11,FALSE),"-")</f>
        <v>4</v>
      </c>
      <c r="M12" s="13">
        <f>IFERROR(I12/L12,"-")</f>
        <v>3625</v>
      </c>
      <c r="N12" s="43" t="s">
        <v>482</v>
      </c>
      <c r="O12" s="54">
        <v>0.4</v>
      </c>
      <c r="P12" s="54">
        <v>0.4</v>
      </c>
      <c r="Q12" s="54">
        <v>0.4</v>
      </c>
      <c r="R12" s="54">
        <v>0.4</v>
      </c>
      <c r="S12" s="54"/>
      <c r="T12" s="54"/>
      <c r="U12" s="54"/>
      <c r="V12" s="54"/>
      <c r="W12" s="54"/>
      <c r="X12" s="54"/>
      <c r="Y12" s="54"/>
      <c r="Z12" s="54"/>
      <c r="AA12" s="13">
        <f>IFERROR(VLOOKUP($N12,【管理用】BR_260204!$B$3:$D$20,3,FALSE)*O12,"-")</f>
        <v>752</v>
      </c>
      <c r="AB12" s="13">
        <f>IFERROR(VLOOKUP($N12,【管理用】BR_260204!$B$3:$D$20,3,FALSE)*P12,"-")</f>
        <v>752</v>
      </c>
      <c r="AC12" s="13">
        <f>IFERROR(VLOOKUP($N12,【管理用】BR_260204!$B$3:$D$20,3,FALSE)*Q12,"-")</f>
        <v>752</v>
      </c>
      <c r="AD12" s="13">
        <f>IFERROR(VLOOKUP($N12,【管理用】BR_260204!$B$3:$D$20,3,FALSE)*R12,"-")</f>
        <v>752</v>
      </c>
      <c r="AE12" s="13">
        <f>IFERROR(VLOOKUP($N12,【管理用】BR_260204!$B$3:$D$20,3,FALSE)*S12,"-")</f>
        <v>0</v>
      </c>
      <c r="AF12" s="13">
        <f>IFERROR(VLOOKUP($N12,【管理用】BR_260204!$B$3:$D$20,3,FALSE)*T12,"-")</f>
        <v>0</v>
      </c>
      <c r="AG12" s="13">
        <f>IFERROR(VLOOKUP($N12,【管理用】BR_260204!$B$3:$D$20,3,FALSE)*U12,"-")</f>
        <v>0</v>
      </c>
      <c r="AH12" s="13">
        <f>IFERROR(VLOOKUP($N12,【管理用】BR_260204!$B$3:$D$20,3,FALSE)*V12,"-")</f>
        <v>0</v>
      </c>
      <c r="AI12" s="13">
        <f>IFERROR(VLOOKUP($N12,【管理用】BR_260204!$B$3:$D$20,3,FALSE)*W12,"-")</f>
        <v>0</v>
      </c>
      <c r="AJ12" s="13">
        <f>IFERROR(VLOOKUP($N12,【管理用】BR_260204!$B$3:$D$20,3,FALSE)*X12,"-")</f>
        <v>0</v>
      </c>
      <c r="AK12" s="13">
        <f>IFERROR(VLOOKUP($N12,【管理用】BR_260204!$B$3:$D$20,3,FALSE)*Y12,"-")</f>
        <v>0</v>
      </c>
      <c r="AL12" s="13">
        <f>IFERROR(VLOOKUP($N12,【管理用】BR_260204!$B$3:$D$20,3,FALSE)*Z12,"-")</f>
        <v>0</v>
      </c>
      <c r="AM12" s="13">
        <f t="shared" si="4"/>
        <v>3008</v>
      </c>
      <c r="AN12" s="37" t="s">
        <v>355</v>
      </c>
      <c r="AP12" s="91"/>
    </row>
    <row r="13" spans="1:42">
      <c r="B13" s="45">
        <f t="shared" si="0"/>
        <v>9</v>
      </c>
      <c r="C13" s="43">
        <v>5</v>
      </c>
      <c r="D13" s="12" t="str">
        <f>IFERROR(VLOOKUP($C13,'【入力用②】案件ごと売上（D案件以上）'!$B$4:$Y$1048576,2,FALSE),"-")</f>
        <v>YAMAGATA</v>
      </c>
      <c r="E13" s="12" t="str">
        <f>IFERROR(VLOOKUP($C13,'【入力用②】案件ごと売上（D案件以上）'!$B$4:$Y$1048576,3,FALSE),"-")</f>
        <v>新事業立ち上げ支援</v>
      </c>
      <c r="F13" s="12" t="str">
        <f>IFERROR(VLOOKUP($C13,'【入力用②】案件ごと売上（D案件以上）'!$B$4:$Y$1048576,4,FALSE),"-")</f>
        <v>05_YAMAGATA_新事業立ち上げ支援</v>
      </c>
      <c r="G13" s="12" t="str">
        <f>IFERROR(VLOOKUP($C13,'【入力用②】案件ごと売上（D案件以上）'!$B$4:$Y$1048576,5,FALSE),"-")</f>
        <v>その他</v>
      </c>
      <c r="H13" s="12" t="str">
        <f>IFERROR(VLOOKUP($C13,'【入力用②】案件ごと売上（D案件以上）'!$B$4:$Y$1048576,6,FALSE),"-")</f>
        <v>成立</v>
      </c>
      <c r="I13" s="13">
        <f>IFERROR(VLOOKUP($C13,'【入力用②】案件ごと売上（D案件以上）'!$B$4:$Y$1048576,8,FALSE),"-")</f>
        <v>14500</v>
      </c>
      <c r="J13" s="13">
        <f t="shared" si="1"/>
        <v>13528</v>
      </c>
      <c r="K13" s="57">
        <f t="shared" si="3"/>
        <v>972</v>
      </c>
      <c r="L13" s="13">
        <f>IFERROR(VLOOKUP($C13,'【入力用②】案件ごと売上（D案件以上）'!$B$4:$Y$1048576,11,FALSE),"-")</f>
        <v>4</v>
      </c>
      <c r="M13" s="13">
        <f t="shared" si="2"/>
        <v>3625</v>
      </c>
      <c r="N13" s="43" t="s">
        <v>483</v>
      </c>
      <c r="O13" s="54">
        <v>0.4</v>
      </c>
      <c r="P13" s="54">
        <v>0.4</v>
      </c>
      <c r="Q13" s="54">
        <v>0.4</v>
      </c>
      <c r="R13" s="54">
        <v>0.4</v>
      </c>
      <c r="S13" s="54"/>
      <c r="T13" s="54"/>
      <c r="U13" s="54"/>
      <c r="V13" s="54"/>
      <c r="W13" s="54"/>
      <c r="X13" s="54"/>
      <c r="Y13" s="54"/>
      <c r="Z13" s="54"/>
      <c r="AA13" s="13">
        <f>IFERROR(VLOOKUP($N13,【管理用】BR_260204!$B$3:$D$20,3,FALSE)*O13,"-")</f>
        <v>700</v>
      </c>
      <c r="AB13" s="13">
        <f>IFERROR(VLOOKUP($N13,【管理用】BR_260204!$B$3:$D$20,3,FALSE)*P13,"-")</f>
        <v>700</v>
      </c>
      <c r="AC13" s="13">
        <f>IFERROR(VLOOKUP($N13,【管理用】BR_260204!$B$3:$D$20,3,FALSE)*Q13,"-")</f>
        <v>700</v>
      </c>
      <c r="AD13" s="13">
        <f>IFERROR(VLOOKUP($N13,【管理用】BR_260204!$B$3:$D$20,3,FALSE)*R13,"-")</f>
        <v>700</v>
      </c>
      <c r="AE13" s="13">
        <f>IFERROR(VLOOKUP($N13,【管理用】BR_260204!$B$3:$D$20,3,FALSE)*S13,"-")</f>
        <v>0</v>
      </c>
      <c r="AF13" s="13">
        <f>IFERROR(VLOOKUP($N13,【管理用】BR_260204!$B$3:$D$20,3,FALSE)*T13,"-")</f>
        <v>0</v>
      </c>
      <c r="AG13" s="13">
        <f>IFERROR(VLOOKUP($N13,【管理用】BR_260204!$B$3:$D$20,3,FALSE)*U13,"-")</f>
        <v>0</v>
      </c>
      <c r="AH13" s="13">
        <f>IFERROR(VLOOKUP($N13,【管理用】BR_260204!$B$3:$D$20,3,FALSE)*V13,"-")</f>
        <v>0</v>
      </c>
      <c r="AI13" s="13">
        <f>IFERROR(VLOOKUP($N13,【管理用】BR_260204!$B$3:$D$20,3,FALSE)*W13,"-")</f>
        <v>0</v>
      </c>
      <c r="AJ13" s="13">
        <f>IFERROR(VLOOKUP($N13,【管理用】BR_260204!$B$3:$D$20,3,FALSE)*X13,"-")</f>
        <v>0</v>
      </c>
      <c r="AK13" s="13">
        <f>IFERROR(VLOOKUP($N13,【管理用】BR_260204!$B$3:$D$20,3,FALSE)*Y13,"-")</f>
        <v>0</v>
      </c>
      <c r="AL13" s="13">
        <f>IFERROR(VLOOKUP($N13,【管理用】BR_260204!$B$3:$D$20,3,FALSE)*Z13,"-")</f>
        <v>0</v>
      </c>
      <c r="AM13" s="13">
        <f t="shared" si="4"/>
        <v>2800</v>
      </c>
      <c r="AN13" s="37" t="s">
        <v>355</v>
      </c>
      <c r="AP13" s="91"/>
    </row>
    <row r="14" spans="1:42">
      <c r="B14" s="45">
        <f t="shared" si="0"/>
        <v>10</v>
      </c>
      <c r="C14" s="43">
        <v>6</v>
      </c>
      <c r="D14" s="12" t="str">
        <f>IFERROR(VLOOKUP($C14,'【入力用②】案件ごと売上（D案件以上）'!$B$4:$Y$1048576,2,FALSE),"-")</f>
        <v>豊田通商</v>
      </c>
      <c r="E14" s="12" t="str">
        <f>IFERROR(VLOOKUP($C14,'【入力用②】案件ごと売上（D案件以上）'!$B$4:$Y$1048576,3,FALSE),"-")</f>
        <v>人事KPI</v>
      </c>
      <c r="F14" s="12" t="str">
        <f>IFERROR(VLOOKUP($C14,'【入力用②】案件ごと売上（D案件以上）'!$B$4:$Y$1048576,4,FALSE),"-")</f>
        <v>06_豊田通商_人事KPI</v>
      </c>
      <c r="G14" s="12" t="str">
        <f>IFERROR(VLOOKUP($C14,'【入力用②】案件ごと売上（D案件以上）'!$B$4:$Y$1048576,5,FALSE),"-")</f>
        <v>その他</v>
      </c>
      <c r="H14" s="12" t="str">
        <f>IFERROR(VLOOKUP($C14,'【入力用②】案件ごと売上（D案件以上）'!$B$4:$Y$1048576,6,FALSE),"-")</f>
        <v>失注</v>
      </c>
      <c r="I14" s="13">
        <f>IFERROR(VLOOKUP($C14,'【入力用②】案件ごと売上（D案件以上）'!$B$4:$Y$1048576,8,FALSE),"-")</f>
        <v>6000</v>
      </c>
      <c r="J14" s="13">
        <f t="shared" si="1"/>
        <v>5764.5</v>
      </c>
      <c r="K14" s="57">
        <f t="shared" si="3"/>
        <v>235.5</v>
      </c>
      <c r="L14" s="13">
        <f>IFERROR(VLOOKUP($C14,'【入力用②】案件ごと売上（D案件以上）'!$B$4:$Y$1048576,11,FALSE),"-")</f>
        <v>3</v>
      </c>
      <c r="M14" s="13">
        <f t="shared" si="2"/>
        <v>2000</v>
      </c>
      <c r="N14" s="43" t="s">
        <v>484</v>
      </c>
      <c r="O14" s="54">
        <v>0.45</v>
      </c>
      <c r="P14" s="54">
        <v>0.45</v>
      </c>
      <c r="Q14" s="54">
        <v>0.45</v>
      </c>
      <c r="R14" s="54"/>
      <c r="S14" s="54"/>
      <c r="T14" s="54"/>
      <c r="U14" s="54"/>
      <c r="V14" s="54"/>
      <c r="W14" s="54"/>
      <c r="X14" s="54"/>
      <c r="Y14" s="54"/>
      <c r="Z14" s="54"/>
      <c r="AA14" s="13">
        <f>IFERROR(VLOOKUP($N14,【管理用】BR_260204!$B$3:$D$20,3,FALSE)*O14,"-")</f>
        <v>990</v>
      </c>
      <c r="AB14" s="13">
        <f>IFERROR(VLOOKUP($N14,【管理用】BR_260204!$B$3:$D$20,3,FALSE)*P14,"-")</f>
        <v>990</v>
      </c>
      <c r="AC14" s="13">
        <f>IFERROR(VLOOKUP($N14,【管理用】BR_260204!$B$3:$D$20,3,FALSE)*Q14,"-")</f>
        <v>990</v>
      </c>
      <c r="AD14" s="13">
        <f>IFERROR(VLOOKUP($N14,【管理用】BR_260204!$B$3:$D$20,3,FALSE)*R14,"-")</f>
        <v>0</v>
      </c>
      <c r="AE14" s="13">
        <f>IFERROR(VLOOKUP($N14,【管理用】BR_260204!$B$3:$D$20,3,FALSE)*S14,"-")</f>
        <v>0</v>
      </c>
      <c r="AF14" s="13">
        <f>IFERROR(VLOOKUP($N14,【管理用】BR_260204!$B$3:$D$20,3,FALSE)*T14,"-")</f>
        <v>0</v>
      </c>
      <c r="AG14" s="13">
        <f>IFERROR(VLOOKUP($N14,【管理用】BR_260204!$B$3:$D$20,3,FALSE)*U14,"-")</f>
        <v>0</v>
      </c>
      <c r="AH14" s="13">
        <f>IFERROR(VLOOKUP($N14,【管理用】BR_260204!$B$3:$D$20,3,FALSE)*V14,"-")</f>
        <v>0</v>
      </c>
      <c r="AI14" s="13">
        <f>IFERROR(VLOOKUP($N14,【管理用】BR_260204!$B$3:$D$20,3,FALSE)*W14,"-")</f>
        <v>0</v>
      </c>
      <c r="AJ14" s="13">
        <f>IFERROR(VLOOKUP($N14,【管理用】BR_260204!$B$3:$D$20,3,FALSE)*X14,"-")</f>
        <v>0</v>
      </c>
      <c r="AK14" s="13">
        <f>IFERROR(VLOOKUP($N14,【管理用】BR_260204!$B$3:$D$20,3,FALSE)*Y14,"-")</f>
        <v>0</v>
      </c>
      <c r="AL14" s="13">
        <f>IFERROR(VLOOKUP($N14,【管理用】BR_260204!$B$3:$D$20,3,FALSE)*Z14,"-")</f>
        <v>0</v>
      </c>
      <c r="AM14" s="13">
        <f t="shared" si="4"/>
        <v>2970</v>
      </c>
      <c r="AN14" s="37" t="s">
        <v>355</v>
      </c>
      <c r="AP14" s="91"/>
    </row>
    <row r="15" spans="1:42">
      <c r="B15" s="45">
        <f t="shared" si="0"/>
        <v>11</v>
      </c>
      <c r="C15" s="43">
        <v>6</v>
      </c>
      <c r="D15" s="12" t="str">
        <f>IFERROR(VLOOKUP($C15,'【入力用②】案件ごと売上（D案件以上）'!$B$4:$Y$1048576,2,FALSE),"-")</f>
        <v>豊田通商</v>
      </c>
      <c r="E15" s="12" t="str">
        <f>IFERROR(VLOOKUP($C15,'【入力用②】案件ごと売上（D案件以上）'!$B$4:$Y$1048576,3,FALSE),"-")</f>
        <v>人事KPI</v>
      </c>
      <c r="F15" s="12" t="str">
        <f>IFERROR(VLOOKUP($C15,'【入力用②】案件ごと売上（D案件以上）'!$B$4:$Y$1048576,4,FALSE),"-")</f>
        <v>06_豊田通商_人事KPI</v>
      </c>
      <c r="G15" s="12" t="str">
        <f>IFERROR(VLOOKUP($C15,'【入力用②】案件ごと売上（D案件以上）'!$B$4:$Y$1048576,5,FALSE),"-")</f>
        <v>その他</v>
      </c>
      <c r="H15" s="12" t="str">
        <f>IFERROR(VLOOKUP($C15,'【入力用②】案件ごと売上（D案件以上）'!$B$4:$Y$1048576,6,FALSE),"-")</f>
        <v>失注</v>
      </c>
      <c r="I15" s="13">
        <f>IFERROR(VLOOKUP($C15,'【入力用②】案件ごと売上（D案件以上）'!$B$4:$Y$1048576,8,FALSE),"-")</f>
        <v>6000</v>
      </c>
      <c r="J15" s="13">
        <f t="shared" si="1"/>
        <v>5764.5</v>
      </c>
      <c r="K15" s="57">
        <f t="shared" si="3"/>
        <v>235.5</v>
      </c>
      <c r="L15" s="13">
        <f>IFERROR(VLOOKUP($C15,'【入力用②】案件ごと売上（D案件以上）'!$B$4:$Y$1048576,11,FALSE),"-")</f>
        <v>3</v>
      </c>
      <c r="M15" s="13">
        <f t="shared" si="2"/>
        <v>2000</v>
      </c>
      <c r="N15" s="43" t="s">
        <v>485</v>
      </c>
      <c r="O15" s="54">
        <v>0.45</v>
      </c>
      <c r="P15" s="54">
        <v>0.45</v>
      </c>
      <c r="Q15" s="54">
        <v>0.45</v>
      </c>
      <c r="R15" s="54"/>
      <c r="S15" s="54"/>
      <c r="T15" s="54"/>
      <c r="U15" s="54"/>
      <c r="V15" s="54"/>
      <c r="W15" s="54"/>
      <c r="X15" s="54"/>
      <c r="Y15" s="54"/>
      <c r="Z15" s="54"/>
      <c r="AA15" s="13">
        <f>IFERROR(VLOOKUP($N15,【管理用】BR_260204!$B$3:$D$20,3,FALSE)*O15,"-")</f>
        <v>931.5</v>
      </c>
      <c r="AB15" s="13">
        <f>IFERROR(VLOOKUP($N15,【管理用】BR_260204!$B$3:$D$20,3,FALSE)*P15,"-")</f>
        <v>931.5</v>
      </c>
      <c r="AC15" s="13">
        <f>IFERROR(VLOOKUP($N15,【管理用】BR_260204!$B$3:$D$20,3,FALSE)*Q15,"-")</f>
        <v>931.5</v>
      </c>
      <c r="AD15" s="13">
        <f>IFERROR(VLOOKUP($N15,【管理用】BR_260204!$B$3:$D$20,3,FALSE)*R15,"-")</f>
        <v>0</v>
      </c>
      <c r="AE15" s="13">
        <f>IFERROR(VLOOKUP($N15,【管理用】BR_260204!$B$3:$D$20,3,FALSE)*S15,"-")</f>
        <v>0</v>
      </c>
      <c r="AF15" s="13">
        <f>IFERROR(VLOOKUP($N15,【管理用】BR_260204!$B$3:$D$20,3,FALSE)*T15,"-")</f>
        <v>0</v>
      </c>
      <c r="AG15" s="13">
        <f>IFERROR(VLOOKUP($N15,【管理用】BR_260204!$B$3:$D$20,3,FALSE)*U15,"-")</f>
        <v>0</v>
      </c>
      <c r="AH15" s="13">
        <f>IFERROR(VLOOKUP($N15,【管理用】BR_260204!$B$3:$D$20,3,FALSE)*V15,"-")</f>
        <v>0</v>
      </c>
      <c r="AI15" s="13">
        <f>IFERROR(VLOOKUP($N15,【管理用】BR_260204!$B$3:$D$20,3,FALSE)*W15,"-")</f>
        <v>0</v>
      </c>
      <c r="AJ15" s="13">
        <f>IFERROR(VLOOKUP($N15,【管理用】BR_260204!$B$3:$D$20,3,FALSE)*X15,"-")</f>
        <v>0</v>
      </c>
      <c r="AK15" s="13">
        <f>IFERROR(VLOOKUP($N15,【管理用】BR_260204!$B$3:$D$20,3,FALSE)*Y15,"-")</f>
        <v>0</v>
      </c>
      <c r="AL15" s="13">
        <f>IFERROR(VLOOKUP($N15,【管理用】BR_260204!$B$3:$D$20,3,FALSE)*Z15,"-")</f>
        <v>0</v>
      </c>
      <c r="AM15" s="13">
        <f t="shared" si="4"/>
        <v>2794.5</v>
      </c>
      <c r="AN15" s="37" t="s">
        <v>355</v>
      </c>
      <c r="AP15" s="91"/>
    </row>
    <row r="16" spans="1:42">
      <c r="B16" s="45">
        <f t="shared" si="0"/>
        <v>12</v>
      </c>
      <c r="C16" s="43">
        <v>7</v>
      </c>
      <c r="D16" s="12" t="str">
        <f>IFERROR(VLOOKUP($C16,'【入力用②】案件ごと売上（D案件以上）'!$B$4:$Y$1048576,2,FALSE),"-")</f>
        <v>豊田通商</v>
      </c>
      <c r="E16" s="12" t="str">
        <f>IFERROR(VLOOKUP($C16,'【入力用②】案件ごと売上（D案件以上）'!$B$4:$Y$1048576,3,FALSE),"-")</f>
        <v>メタルプラス</v>
      </c>
      <c r="F16" s="12" t="str">
        <f>IFERROR(VLOOKUP($C16,'【入力用②】案件ごと売上（D案件以上）'!$B$4:$Y$1048576,4,FALSE),"-")</f>
        <v>07_豊田通商_メタルプラス</v>
      </c>
      <c r="G16" s="12" t="str">
        <f>IFERROR(VLOOKUP($C16,'【入力用②】案件ごと売上（D案件以上）'!$B$4:$Y$1048576,5,FALSE),"-")</f>
        <v>その他</v>
      </c>
      <c r="H16" s="12" t="str">
        <f>IFERROR(VLOOKUP($C16,'【入力用②】案件ごと売上（D案件以上）'!$B$4:$Y$1048576,6,FALSE),"-")</f>
        <v>成立</v>
      </c>
      <c r="I16" s="13">
        <f>IFERROR(VLOOKUP($C16,'【入力用②】案件ごと売上（D案件以上）'!$B$4:$Y$1048576,8,FALSE),"-")</f>
        <v>6750</v>
      </c>
      <c r="J16" s="13">
        <f t="shared" si="1"/>
        <v>6730.5</v>
      </c>
      <c r="K16" s="57">
        <f t="shared" si="3"/>
        <v>19.5</v>
      </c>
      <c r="L16" s="13">
        <f>IFERROR(VLOOKUP($C16,'【入力用②】案件ごと売上（D案件以上）'!$B$4:$Y$1048576,11,FALSE),"-")</f>
        <v>3</v>
      </c>
      <c r="M16" s="13">
        <f t="shared" si="2"/>
        <v>2250</v>
      </c>
      <c r="N16" s="43" t="s">
        <v>481</v>
      </c>
      <c r="O16" s="54"/>
      <c r="P16" s="54"/>
      <c r="Q16" s="54">
        <v>0.13</v>
      </c>
      <c r="R16" s="54">
        <v>0.13</v>
      </c>
      <c r="S16" s="54">
        <v>0.13</v>
      </c>
      <c r="T16" s="54"/>
      <c r="U16" s="54"/>
      <c r="V16" s="54"/>
      <c r="W16" s="54"/>
      <c r="X16" s="54"/>
      <c r="Y16" s="54"/>
      <c r="Z16" s="54"/>
      <c r="AA16" s="13">
        <f>IFERROR(VLOOKUP($N16,【管理用】BR_260204!$B$3:$D$20,3,FALSE)*O16,"-")</f>
        <v>0</v>
      </c>
      <c r="AB16" s="13">
        <f>IFERROR(VLOOKUP($N16,【管理用】BR_260204!$B$3:$D$20,3,FALSE)*P16,"-")</f>
        <v>0</v>
      </c>
      <c r="AC16" s="13">
        <f>IFERROR(VLOOKUP($N16,【管理用】BR_260204!$B$3:$D$20,3,FALSE)*Q16,"-")</f>
        <v>1105</v>
      </c>
      <c r="AD16" s="13">
        <f>IFERROR(VLOOKUP($N16,【管理用】BR_260204!$B$3:$D$20,3,FALSE)*R16,"-")</f>
        <v>1105</v>
      </c>
      <c r="AE16" s="13">
        <f>IFERROR(VLOOKUP($N16,【管理用】BR_260204!$B$3:$D$20,3,FALSE)*S16,"-")</f>
        <v>1105</v>
      </c>
      <c r="AF16" s="13">
        <f>IFERROR(VLOOKUP($N16,【管理用】BR_260204!$B$3:$D$20,3,FALSE)*T16,"-")</f>
        <v>0</v>
      </c>
      <c r="AG16" s="13">
        <f>IFERROR(VLOOKUP($N16,【管理用】BR_260204!$B$3:$D$20,3,FALSE)*U16,"-")</f>
        <v>0</v>
      </c>
      <c r="AH16" s="13">
        <f>IFERROR(VLOOKUP($N16,【管理用】BR_260204!$B$3:$D$20,3,FALSE)*V16,"-")</f>
        <v>0</v>
      </c>
      <c r="AI16" s="13">
        <f>IFERROR(VLOOKUP($N16,【管理用】BR_260204!$B$3:$D$20,3,FALSE)*W16,"-")</f>
        <v>0</v>
      </c>
      <c r="AJ16" s="13">
        <f>IFERROR(VLOOKUP($N16,【管理用】BR_260204!$B$3:$D$20,3,FALSE)*X16,"-")</f>
        <v>0</v>
      </c>
      <c r="AK16" s="13">
        <f>IFERROR(VLOOKUP($N16,【管理用】BR_260204!$B$3:$D$20,3,FALSE)*Y16,"-")</f>
        <v>0</v>
      </c>
      <c r="AL16" s="13">
        <f>IFERROR(VLOOKUP($N16,【管理用】BR_260204!$B$3:$D$20,3,FALSE)*Z16,"-")</f>
        <v>0</v>
      </c>
      <c r="AM16" s="13">
        <f t="shared" si="4"/>
        <v>3315</v>
      </c>
      <c r="AN16" s="37" t="s">
        <v>355</v>
      </c>
      <c r="AP16" s="91"/>
    </row>
    <row r="17" spans="2:42">
      <c r="B17" s="45">
        <f t="shared" si="0"/>
        <v>13</v>
      </c>
      <c r="C17" s="43">
        <v>7</v>
      </c>
      <c r="D17" s="12" t="str">
        <f>IFERROR(VLOOKUP($C17,'【入力用②】案件ごと売上（D案件以上）'!$B$4:$Y$1048576,2,FALSE),"-")</f>
        <v>豊田通商</v>
      </c>
      <c r="E17" s="12" t="str">
        <f>IFERROR(VLOOKUP($C17,'【入力用②】案件ごと売上（D案件以上）'!$B$4:$Y$1048576,3,FALSE),"-")</f>
        <v>メタルプラス</v>
      </c>
      <c r="F17" s="12" t="str">
        <f>IFERROR(VLOOKUP($C17,'【入力用②】案件ごと売上（D案件以上）'!$B$4:$Y$1048576,4,FALSE),"-")</f>
        <v>07_豊田通商_メタルプラス</v>
      </c>
      <c r="G17" s="12" t="str">
        <f>IFERROR(VLOOKUP($C17,'【入力用②】案件ごと売上（D案件以上）'!$B$4:$Y$1048576,5,FALSE),"-")</f>
        <v>その他</v>
      </c>
      <c r="H17" s="12" t="str">
        <f>IFERROR(VLOOKUP($C17,'【入力用②】案件ごと売上（D案件以上）'!$B$4:$Y$1048576,6,FALSE),"-")</f>
        <v>成立</v>
      </c>
      <c r="I17" s="13">
        <f>IFERROR(VLOOKUP($C17,'【入力用②】案件ごと売上（D案件以上）'!$B$4:$Y$1048576,8,FALSE),"-")</f>
        <v>6750</v>
      </c>
      <c r="J17" s="13">
        <f t="shared" si="1"/>
        <v>6730.5</v>
      </c>
      <c r="K17" s="57">
        <f t="shared" si="3"/>
        <v>19.5</v>
      </c>
      <c r="L17" s="13">
        <f>IFERROR(VLOOKUP($C17,'【入力用②】案件ごと売上（D案件以上）'!$B$4:$Y$1048576,11,FALSE),"-")</f>
        <v>3</v>
      </c>
      <c r="M17" s="13">
        <f t="shared" si="2"/>
        <v>2250</v>
      </c>
      <c r="N17" s="43" t="s">
        <v>412</v>
      </c>
      <c r="O17" s="54"/>
      <c r="P17" s="54"/>
      <c r="Q17" s="54">
        <v>0.55000000000000004</v>
      </c>
      <c r="R17" s="54">
        <v>0.55000000000000004</v>
      </c>
      <c r="S17" s="54">
        <v>0.55000000000000004</v>
      </c>
      <c r="T17" s="54"/>
      <c r="U17" s="54"/>
      <c r="V17" s="54"/>
      <c r="W17" s="54"/>
      <c r="X17" s="54"/>
      <c r="Y17" s="54"/>
      <c r="Z17" s="54"/>
      <c r="AA17" s="13">
        <f>IFERROR(VLOOKUP($N17,【管理用】BR_260204!$B$3:$D$20,3,FALSE)*O17,"-")</f>
        <v>0</v>
      </c>
      <c r="AB17" s="13">
        <f>IFERROR(VLOOKUP($N17,【管理用】BR_260204!$B$3:$D$20,3,FALSE)*P17,"-")</f>
        <v>0</v>
      </c>
      <c r="AC17" s="13">
        <f>IFERROR(VLOOKUP($N17,【管理用】BR_260204!$B$3:$D$20,3,FALSE)*Q17,"-")</f>
        <v>1138.5</v>
      </c>
      <c r="AD17" s="13">
        <f>IFERROR(VLOOKUP($N17,【管理用】BR_260204!$B$3:$D$20,3,FALSE)*R17,"-")</f>
        <v>1138.5</v>
      </c>
      <c r="AE17" s="13">
        <f>IFERROR(VLOOKUP($N17,【管理用】BR_260204!$B$3:$D$20,3,FALSE)*S17,"-")</f>
        <v>1138.5</v>
      </c>
      <c r="AF17" s="13">
        <f>IFERROR(VLOOKUP($N17,【管理用】BR_260204!$B$3:$D$20,3,FALSE)*T17,"-")</f>
        <v>0</v>
      </c>
      <c r="AG17" s="13">
        <f>IFERROR(VLOOKUP($N17,【管理用】BR_260204!$B$3:$D$20,3,FALSE)*U17,"-")</f>
        <v>0</v>
      </c>
      <c r="AH17" s="13">
        <f>IFERROR(VLOOKUP($N17,【管理用】BR_260204!$B$3:$D$20,3,FALSE)*V17,"-")</f>
        <v>0</v>
      </c>
      <c r="AI17" s="13">
        <f>IFERROR(VLOOKUP($N17,【管理用】BR_260204!$B$3:$D$20,3,FALSE)*W17,"-")</f>
        <v>0</v>
      </c>
      <c r="AJ17" s="13">
        <f>IFERROR(VLOOKUP($N17,【管理用】BR_260204!$B$3:$D$20,3,FALSE)*X17,"-")</f>
        <v>0</v>
      </c>
      <c r="AK17" s="13">
        <f>IFERROR(VLOOKUP($N17,【管理用】BR_260204!$B$3:$D$20,3,FALSE)*Y17,"-")</f>
        <v>0</v>
      </c>
      <c r="AL17" s="13">
        <f>IFERROR(VLOOKUP($N17,【管理用】BR_260204!$B$3:$D$20,3,FALSE)*Z17,"-")</f>
        <v>0</v>
      </c>
      <c r="AM17" s="13">
        <f t="shared" ref="AM17:AM18" si="5">SUM(AA17:AL17)</f>
        <v>3415.5</v>
      </c>
      <c r="AP17" s="91"/>
    </row>
    <row r="18" spans="2:42">
      <c r="B18" s="45">
        <f t="shared" si="0"/>
        <v>14</v>
      </c>
      <c r="C18" s="43">
        <v>8</v>
      </c>
      <c r="D18" s="12" t="str">
        <f>IFERROR(VLOOKUP($C18,'【入力用②】案件ごと売上（D案件以上）'!$B$4:$Y$1048576,2,FALSE),"-")</f>
        <v>OKI</v>
      </c>
      <c r="E18" s="12" t="str">
        <f>IFERROR(VLOOKUP($C18,'【入力用②】案件ごと売上（D案件以上）'!$B$4:$Y$1048576,3,FALSE),"-")</f>
        <v>人材面を主とした組織診断</v>
      </c>
      <c r="F18" s="12" t="str">
        <f>IFERROR(VLOOKUP($C18,'【入力用②】案件ごと売上（D案件以上）'!$B$4:$Y$1048576,4,FALSE),"-")</f>
        <v>08_OKI_人材面を主とした組織診断</v>
      </c>
      <c r="G18" s="12" t="str">
        <f>IFERROR(VLOOKUP($C18,'【入力用②】案件ごと売上（D案件以上）'!$B$4:$Y$1048576,5,FALSE),"-")</f>
        <v>その他</v>
      </c>
      <c r="H18" s="12" t="str">
        <f>IFERROR(VLOOKUP($C18,'【入力用②】案件ごと売上（D案件以上）'!$B$4:$Y$1048576,6,FALSE),"-")</f>
        <v>成立</v>
      </c>
      <c r="I18" s="13">
        <f>IFERROR(VLOOKUP($C18,'【入力用②】案件ごと売上（D案件以上）'!$B$4:$Y$1048576,8,FALSE),"-")</f>
        <v>4000</v>
      </c>
      <c r="J18" s="13">
        <f t="shared" si="1"/>
        <v>4000</v>
      </c>
      <c r="K18" s="57">
        <f t="shared" si="3"/>
        <v>0</v>
      </c>
      <c r="L18" s="13">
        <f>IFERROR(VLOOKUP($C18,'【入力用②】案件ごと売上（D案件以上）'!$B$4:$Y$1048576,11,FALSE),"-")</f>
        <v>3.5</v>
      </c>
      <c r="M18" s="13">
        <f t="shared" si="2"/>
        <v>1142.8571428571429</v>
      </c>
      <c r="N18" s="43" t="s">
        <v>481</v>
      </c>
      <c r="O18" s="54">
        <v>0.1</v>
      </c>
      <c r="P18" s="54">
        <v>0.1</v>
      </c>
      <c r="Q18" s="54"/>
      <c r="R18" s="54"/>
      <c r="S18" s="54"/>
      <c r="T18" s="54"/>
      <c r="U18" s="54"/>
      <c r="V18" s="54"/>
      <c r="W18" s="54"/>
      <c r="X18" s="54"/>
      <c r="Y18" s="54"/>
      <c r="Z18" s="54"/>
      <c r="AA18" s="13">
        <f>IFERROR(VLOOKUP($N18,【管理用】BR_260204!$B$3:$D$20,3,FALSE)*O18,"-")</f>
        <v>850</v>
      </c>
      <c r="AB18" s="13">
        <f>IFERROR(VLOOKUP($N18,【管理用】BR_260204!$B$3:$D$20,3,FALSE)*P18,"-")</f>
        <v>850</v>
      </c>
      <c r="AC18" s="13">
        <f>IFERROR(VLOOKUP($N18,【管理用】BR_260204!$B$3:$D$20,3,FALSE)*Q18,"-")</f>
        <v>0</v>
      </c>
      <c r="AD18" s="13">
        <f>IFERROR(VLOOKUP($N18,【管理用】BR_260204!$B$3:$D$20,3,FALSE)*R18,"-")</f>
        <v>0</v>
      </c>
      <c r="AE18" s="13">
        <f>IFERROR(VLOOKUP($N18,【管理用】BR_260204!$B$3:$D$20,3,FALSE)*S18,"-")</f>
        <v>0</v>
      </c>
      <c r="AF18" s="13">
        <f>IFERROR(VLOOKUP($N18,【管理用】BR_260204!$B$3:$D$20,3,FALSE)*T18,"-")</f>
        <v>0</v>
      </c>
      <c r="AG18" s="13">
        <f>IFERROR(VLOOKUP($N18,【管理用】BR_260204!$B$3:$D$20,3,FALSE)*U18,"-")</f>
        <v>0</v>
      </c>
      <c r="AH18" s="13">
        <f>IFERROR(VLOOKUP($N18,【管理用】BR_260204!$B$3:$D$20,3,FALSE)*V18,"-")</f>
        <v>0</v>
      </c>
      <c r="AI18" s="13">
        <f>IFERROR(VLOOKUP($N18,【管理用】BR_260204!$B$3:$D$20,3,FALSE)*W18,"-")</f>
        <v>0</v>
      </c>
      <c r="AJ18" s="13">
        <f>IFERROR(VLOOKUP($N18,【管理用】BR_260204!$B$3:$D$20,3,FALSE)*X18,"-")</f>
        <v>0</v>
      </c>
      <c r="AK18" s="13">
        <f>IFERROR(VLOOKUP($N18,【管理用】BR_260204!$B$3:$D$20,3,FALSE)*Y18,"-")</f>
        <v>0</v>
      </c>
      <c r="AL18" s="13">
        <f>IFERROR(VLOOKUP($N18,【管理用】BR_260204!$B$3:$D$20,3,FALSE)*Z18,"-")</f>
        <v>0</v>
      </c>
      <c r="AM18" s="13">
        <f t="shared" si="5"/>
        <v>1700</v>
      </c>
      <c r="AN18" s="37" t="s">
        <v>355</v>
      </c>
      <c r="AP18" s="91"/>
    </row>
    <row r="19" spans="2:42">
      <c r="B19" s="45">
        <f t="shared" si="0"/>
        <v>15</v>
      </c>
      <c r="C19" s="43">
        <v>8</v>
      </c>
      <c r="D19" s="12" t="str">
        <f>IFERROR(VLOOKUP($C19,'【入力用②】案件ごと売上（D案件以上）'!$B$4:$Y$1048576,2,FALSE),"-")</f>
        <v>OKI</v>
      </c>
      <c r="E19" s="12" t="str">
        <f>IFERROR(VLOOKUP($C19,'【入力用②】案件ごと売上（D案件以上）'!$B$4:$Y$1048576,3,FALSE),"-")</f>
        <v>人材面を主とした組織診断</v>
      </c>
      <c r="F19" s="12" t="str">
        <f>IFERROR(VLOOKUP($C19,'【入力用②】案件ごと売上（D案件以上）'!$B$4:$Y$1048576,4,FALSE),"-")</f>
        <v>08_OKI_人材面を主とした組織診断</v>
      </c>
      <c r="G19" s="12" t="str">
        <f>IFERROR(VLOOKUP($C19,'【入力用②】案件ごと売上（D案件以上）'!$B$4:$Y$1048576,5,FALSE),"-")</f>
        <v>その他</v>
      </c>
      <c r="H19" s="12" t="str">
        <f>IFERROR(VLOOKUP($C19,'【入力用②】案件ごと売上（D案件以上）'!$B$4:$Y$1048576,6,FALSE),"-")</f>
        <v>成立</v>
      </c>
      <c r="I19" s="13">
        <f>IFERROR(VLOOKUP($C19,'【入力用②】案件ごと売上（D案件以上）'!$B$4:$Y$1048576,8,FALSE),"-")</f>
        <v>4000</v>
      </c>
      <c r="J19" s="13">
        <f t="shared" si="1"/>
        <v>4000</v>
      </c>
      <c r="K19" s="57">
        <f t="shared" si="3"/>
        <v>0</v>
      </c>
      <c r="L19" s="13">
        <f>IFERROR(VLOOKUP($C19,'【入力用②】案件ごと売上（D案件以上）'!$B$4:$Y$1048576,11,FALSE),"-")</f>
        <v>3.5</v>
      </c>
      <c r="M19" s="13">
        <f t="shared" si="2"/>
        <v>1142.8571428571429</v>
      </c>
      <c r="N19" s="43" t="s">
        <v>484</v>
      </c>
      <c r="O19" s="54">
        <v>0.3</v>
      </c>
      <c r="P19" s="54">
        <v>0.3</v>
      </c>
      <c r="Q19" s="54"/>
      <c r="R19" s="54"/>
      <c r="S19" s="54"/>
      <c r="T19" s="54"/>
      <c r="U19" s="54"/>
      <c r="V19" s="54"/>
      <c r="W19" s="54"/>
      <c r="X19" s="54"/>
      <c r="Y19" s="54"/>
      <c r="Z19" s="54"/>
      <c r="AA19" s="13">
        <f>IFERROR(VLOOKUP($N19,【管理用】BR_260204!$B$3:$D$20,3,FALSE)*O19,"-")</f>
        <v>660</v>
      </c>
      <c r="AB19" s="13">
        <f>IFERROR(VLOOKUP($N19,【管理用】BR_260204!$B$3:$D$20,3,FALSE)*P19,"-")</f>
        <v>660</v>
      </c>
      <c r="AC19" s="13">
        <f>IFERROR(VLOOKUP($N19,【管理用】BR_260204!$B$3:$D$20,3,FALSE)*Q19,"-")</f>
        <v>0</v>
      </c>
      <c r="AD19" s="13">
        <f>IFERROR(VLOOKUP($N19,【管理用】BR_260204!$B$3:$D$20,3,FALSE)*R19,"-")</f>
        <v>0</v>
      </c>
      <c r="AE19" s="13">
        <f>IFERROR(VLOOKUP($N19,【管理用】BR_260204!$B$3:$D$20,3,FALSE)*S19,"-")</f>
        <v>0</v>
      </c>
      <c r="AF19" s="13">
        <f>IFERROR(VLOOKUP($N19,【管理用】BR_260204!$B$3:$D$20,3,FALSE)*T19,"-")</f>
        <v>0</v>
      </c>
      <c r="AG19" s="13">
        <f>IFERROR(VLOOKUP($N19,【管理用】BR_260204!$B$3:$D$20,3,FALSE)*U19,"-")</f>
        <v>0</v>
      </c>
      <c r="AH19" s="13">
        <f>IFERROR(VLOOKUP($N19,【管理用】BR_260204!$B$3:$D$20,3,FALSE)*V19,"-")</f>
        <v>0</v>
      </c>
      <c r="AI19" s="13">
        <f>IFERROR(VLOOKUP($N19,【管理用】BR_260204!$B$3:$D$20,3,FALSE)*W19,"-")</f>
        <v>0</v>
      </c>
      <c r="AJ19" s="13">
        <f>IFERROR(VLOOKUP($N19,【管理用】BR_260204!$B$3:$D$20,3,FALSE)*X19,"-")</f>
        <v>0</v>
      </c>
      <c r="AK19" s="13">
        <f>IFERROR(VLOOKUP($N19,【管理用】BR_260204!$B$3:$D$20,3,FALSE)*Y19,"-")</f>
        <v>0</v>
      </c>
      <c r="AL19" s="13">
        <f>IFERROR(VLOOKUP($N19,【管理用】BR_260204!$B$3:$D$20,3,FALSE)*Z19,"-")</f>
        <v>0</v>
      </c>
      <c r="AM19" s="13">
        <f t="shared" ref="AM19" si="6">SUM(AA19:AL19)</f>
        <v>1320</v>
      </c>
      <c r="AN19" s="37" t="s">
        <v>355</v>
      </c>
      <c r="AP19" s="91"/>
    </row>
    <row r="20" spans="2:42">
      <c r="B20" s="45">
        <f t="shared" si="0"/>
        <v>16</v>
      </c>
      <c r="C20" s="43">
        <v>8</v>
      </c>
      <c r="D20" s="12" t="str">
        <f>IFERROR(VLOOKUP($C20,'【入力用②】案件ごと売上（D案件以上）'!$B$4:$Y$1048576,2,FALSE),"-")</f>
        <v>OKI</v>
      </c>
      <c r="E20" s="12" t="str">
        <f>IFERROR(VLOOKUP($C20,'【入力用②】案件ごと売上（D案件以上）'!$B$4:$Y$1048576,3,FALSE),"-")</f>
        <v>人材面を主とした組織診断</v>
      </c>
      <c r="F20" s="12" t="str">
        <f>IFERROR(VLOOKUP($C20,'【入力用②】案件ごと売上（D案件以上）'!$B$4:$Y$1048576,4,FALSE),"-")</f>
        <v>08_OKI_人材面を主とした組織診断</v>
      </c>
      <c r="G20" s="12" t="str">
        <f>IFERROR(VLOOKUP($C20,'【入力用②】案件ごと売上（D案件以上）'!$B$4:$Y$1048576,5,FALSE),"-")</f>
        <v>その他</v>
      </c>
      <c r="H20" s="12" t="str">
        <f>IFERROR(VLOOKUP($C20,'【入力用②】案件ごと売上（D案件以上）'!$B$4:$Y$1048576,6,FALSE),"-")</f>
        <v>成立</v>
      </c>
      <c r="I20" s="13">
        <f>IFERROR(VLOOKUP($C20,'【入力用②】案件ごと売上（D案件以上）'!$B$4:$Y$1048576,8,FALSE),"-")</f>
        <v>4000</v>
      </c>
      <c r="J20" s="13">
        <f t="shared" si="1"/>
        <v>4000</v>
      </c>
      <c r="K20" s="57">
        <f t="shared" si="3"/>
        <v>0</v>
      </c>
      <c r="L20" s="13">
        <f>IFERROR(VLOOKUP($C20,'【入力用②】案件ごと売上（D案件以上）'!$B$4:$Y$1048576,11,FALSE),"-")</f>
        <v>3.5</v>
      </c>
      <c r="M20" s="13">
        <f t="shared" si="2"/>
        <v>1142.8571428571429</v>
      </c>
      <c r="N20" s="43" t="s">
        <v>483</v>
      </c>
      <c r="O20" s="54">
        <v>0.3</v>
      </c>
      <c r="P20" s="54">
        <v>0.26</v>
      </c>
      <c r="Q20" s="54"/>
      <c r="R20" s="54"/>
      <c r="S20" s="54"/>
      <c r="T20" s="54"/>
      <c r="U20" s="54"/>
      <c r="V20" s="54"/>
      <c r="W20" s="54"/>
      <c r="X20" s="54"/>
      <c r="Y20" s="54"/>
      <c r="Z20" s="54"/>
      <c r="AA20" s="13">
        <f>IFERROR(VLOOKUP($N20,【管理用】BR_260204!$B$3:$D$20,3,FALSE)*O20,"-")</f>
        <v>525</v>
      </c>
      <c r="AB20" s="13">
        <f>IFERROR(VLOOKUP($N20,【管理用】BR_260204!$B$3:$D$20,3,FALSE)*P20,"-")</f>
        <v>455</v>
      </c>
      <c r="AC20" s="13">
        <f>IFERROR(VLOOKUP($N20,【管理用】BR_260204!$B$3:$D$20,3,FALSE)*Q20,"-")</f>
        <v>0</v>
      </c>
      <c r="AD20" s="13">
        <f>IFERROR(VLOOKUP($N20,【管理用】BR_260204!$B$3:$D$20,3,FALSE)*R20,"-")</f>
        <v>0</v>
      </c>
      <c r="AE20" s="13">
        <f>IFERROR(VLOOKUP($N20,【管理用】BR_260204!$B$3:$D$20,3,FALSE)*S20,"-")</f>
        <v>0</v>
      </c>
      <c r="AF20" s="13">
        <f>IFERROR(VLOOKUP($N20,【管理用】BR_260204!$B$3:$D$20,3,FALSE)*T20,"-")</f>
        <v>0</v>
      </c>
      <c r="AG20" s="13">
        <f>IFERROR(VLOOKUP($N20,【管理用】BR_260204!$B$3:$D$20,3,FALSE)*U20,"-")</f>
        <v>0</v>
      </c>
      <c r="AH20" s="13">
        <f>IFERROR(VLOOKUP($N20,【管理用】BR_260204!$B$3:$D$20,3,FALSE)*V20,"-")</f>
        <v>0</v>
      </c>
      <c r="AI20" s="13">
        <f>IFERROR(VLOOKUP($N20,【管理用】BR_260204!$B$3:$D$20,3,FALSE)*W20,"-")</f>
        <v>0</v>
      </c>
      <c r="AJ20" s="13">
        <f>IFERROR(VLOOKUP($N20,【管理用】BR_260204!$B$3:$D$20,3,FALSE)*X20,"-")</f>
        <v>0</v>
      </c>
      <c r="AK20" s="13">
        <f>IFERROR(VLOOKUP($N20,【管理用】BR_260204!$B$3:$D$20,3,FALSE)*Y20,"-")</f>
        <v>0</v>
      </c>
      <c r="AL20" s="13">
        <f>IFERROR(VLOOKUP($N20,【管理用】BR_260204!$B$3:$D$20,3,FALSE)*Z20,"-")</f>
        <v>0</v>
      </c>
      <c r="AM20" s="13">
        <f t="shared" si="4"/>
        <v>980</v>
      </c>
      <c r="AN20" s="37" t="s">
        <v>355</v>
      </c>
      <c r="AP20" s="91"/>
    </row>
    <row r="21" spans="2:42">
      <c r="B21" s="45">
        <f t="shared" si="0"/>
        <v>17</v>
      </c>
      <c r="C21" s="43">
        <v>9</v>
      </c>
      <c r="D21" s="12" t="str">
        <f>IFERROR(VLOOKUP($C21,'【入力用②】案件ごと売上（D案件以上）'!$B$4:$Y$1048576,2,FALSE),"-")</f>
        <v>宮﨑製鋼</v>
      </c>
      <c r="E21" s="12" t="str">
        <f>IFERROR(VLOOKUP($C21,'【入力用②】案件ごと売上（D案件以上）'!$B$4:$Y$1048576,3,FALSE),"-")</f>
        <v>エンゲージメントサーベイ</v>
      </c>
      <c r="F21" s="12" t="str">
        <f>IFERROR(VLOOKUP($C21,'【入力用②】案件ごと売上（D案件以上）'!$B$4:$Y$1048576,4,FALSE),"-")</f>
        <v>09_宮﨑製鋼_エンゲージメントサーベイ</v>
      </c>
      <c r="G21" s="12" t="str">
        <f>IFERROR(VLOOKUP($C21,'【入力用②】案件ごと売上（D案件以上）'!$B$4:$Y$1048576,5,FALSE),"-")</f>
        <v>その他</v>
      </c>
      <c r="H21" s="12" t="str">
        <f>IFERROR(VLOOKUP($C21,'【入力用②】案件ごと売上（D案件以上）'!$B$4:$Y$1048576,6,FALSE),"-")</f>
        <v>成立</v>
      </c>
      <c r="I21" s="13">
        <f>IFERROR(VLOOKUP($C21,'【入力用②】案件ごと売上（D案件以上）'!$B$4:$Y$1048576,8,FALSE),"-")</f>
        <v>500</v>
      </c>
      <c r="J21" s="13">
        <f t="shared" si="1"/>
        <v>499.5</v>
      </c>
      <c r="K21" s="57">
        <f t="shared" si="3"/>
        <v>0.5</v>
      </c>
      <c r="L21" s="13">
        <f>IFERROR(VLOOKUP($C21,'【入力用②】案件ごと売上（D案件以上）'!$B$4:$Y$1048576,11,FALSE),"-")</f>
        <v>3</v>
      </c>
      <c r="M21" s="13">
        <f t="shared" si="2"/>
        <v>166.66666666666666</v>
      </c>
      <c r="N21" s="43" t="s">
        <v>484</v>
      </c>
      <c r="O21" s="54">
        <v>0.03</v>
      </c>
      <c r="P21" s="54">
        <v>0.03</v>
      </c>
      <c r="Q21" s="54"/>
      <c r="R21" s="54"/>
      <c r="S21" s="54"/>
      <c r="T21" s="54"/>
      <c r="U21" s="54"/>
      <c r="V21" s="54"/>
      <c r="W21" s="54"/>
      <c r="X21" s="54"/>
      <c r="Y21" s="54"/>
      <c r="Z21" s="54"/>
      <c r="AA21" s="13">
        <f>IFERROR(VLOOKUP($N21,【管理用】BR_260204!$B$3:$D$20,3,FALSE)*O21,"-")</f>
        <v>66</v>
      </c>
      <c r="AB21" s="13">
        <f>IFERROR(VLOOKUP($N21,【管理用】BR_260204!$B$3:$D$20,3,FALSE)*P21,"-")</f>
        <v>66</v>
      </c>
      <c r="AC21" s="13">
        <f>IFERROR(VLOOKUP($N21,【管理用】BR_260204!$B$3:$D$20,3,FALSE)*Q21,"-")</f>
        <v>0</v>
      </c>
      <c r="AD21" s="13">
        <f>IFERROR(VLOOKUP($N21,【管理用】BR_260204!$B$3:$D$20,3,FALSE)*R21,"-")</f>
        <v>0</v>
      </c>
      <c r="AE21" s="13">
        <f>IFERROR(VLOOKUP($N21,【管理用】BR_260204!$B$3:$D$20,3,FALSE)*S21,"-")</f>
        <v>0</v>
      </c>
      <c r="AF21" s="13">
        <f>IFERROR(VLOOKUP($N21,【管理用】BR_260204!$B$3:$D$20,3,FALSE)*T21,"-")</f>
        <v>0</v>
      </c>
      <c r="AG21" s="13">
        <f>IFERROR(VLOOKUP($N21,【管理用】BR_260204!$B$3:$D$20,3,FALSE)*U21,"-")</f>
        <v>0</v>
      </c>
      <c r="AH21" s="13">
        <f>IFERROR(VLOOKUP($N21,【管理用】BR_260204!$B$3:$D$20,3,FALSE)*V21,"-")</f>
        <v>0</v>
      </c>
      <c r="AI21" s="13">
        <f>IFERROR(VLOOKUP($N21,【管理用】BR_260204!$B$3:$D$20,3,FALSE)*W21,"-")</f>
        <v>0</v>
      </c>
      <c r="AJ21" s="13">
        <f>IFERROR(VLOOKUP($N21,【管理用】BR_260204!$B$3:$D$20,3,FALSE)*X21,"-")</f>
        <v>0</v>
      </c>
      <c r="AK21" s="13">
        <f>IFERROR(VLOOKUP($N21,【管理用】BR_260204!$B$3:$D$20,3,FALSE)*Y21,"-")</f>
        <v>0</v>
      </c>
      <c r="AL21" s="13">
        <f>IFERROR(VLOOKUP($N21,【管理用】BR_260204!$B$3:$D$20,3,FALSE)*Z21,"-")</f>
        <v>0</v>
      </c>
      <c r="AM21" s="13">
        <f t="shared" si="4"/>
        <v>132</v>
      </c>
      <c r="AN21" s="37" t="s">
        <v>355</v>
      </c>
      <c r="AP21" s="91"/>
    </row>
    <row r="22" spans="2:42">
      <c r="B22" s="45">
        <f t="shared" si="0"/>
        <v>18</v>
      </c>
      <c r="C22" s="43">
        <v>9</v>
      </c>
      <c r="D22" s="12" t="str">
        <f>IFERROR(VLOOKUP($C22,'【入力用②】案件ごと売上（D案件以上）'!$B$4:$Y$1048576,2,FALSE),"-")</f>
        <v>宮﨑製鋼</v>
      </c>
      <c r="E22" s="12" t="str">
        <f>IFERROR(VLOOKUP($C22,'【入力用②】案件ごと売上（D案件以上）'!$B$4:$Y$1048576,3,FALSE),"-")</f>
        <v>エンゲージメントサーベイ</v>
      </c>
      <c r="F22" s="12" t="str">
        <f>IFERROR(VLOOKUP($C22,'【入力用②】案件ごと売上（D案件以上）'!$B$4:$Y$1048576,4,FALSE),"-")</f>
        <v>09_宮﨑製鋼_エンゲージメントサーベイ</v>
      </c>
      <c r="G22" s="12" t="str">
        <f>IFERROR(VLOOKUP($C22,'【入力用②】案件ごと売上（D案件以上）'!$B$4:$Y$1048576,5,FALSE),"-")</f>
        <v>その他</v>
      </c>
      <c r="H22" s="12" t="str">
        <f>IFERROR(VLOOKUP($C22,'【入力用②】案件ごと売上（D案件以上）'!$B$4:$Y$1048576,6,FALSE),"-")</f>
        <v>成立</v>
      </c>
      <c r="I22" s="13">
        <f>IFERROR(VLOOKUP($C22,'【入力用②】案件ごと売上（D案件以上）'!$B$4:$Y$1048576,8,FALSE),"-")</f>
        <v>500</v>
      </c>
      <c r="J22" s="13">
        <f t="shared" si="1"/>
        <v>499.5</v>
      </c>
      <c r="K22" s="57">
        <f t="shared" si="3"/>
        <v>0.5</v>
      </c>
      <c r="L22" s="13">
        <f>IFERROR(VLOOKUP($C22,'【入力用②】案件ごと売上（D案件以上）'!$B$4:$Y$1048576,11,FALSE),"-")</f>
        <v>3</v>
      </c>
      <c r="M22" s="13">
        <f t="shared" si="2"/>
        <v>166.66666666666666</v>
      </c>
      <c r="N22" s="43" t="s">
        <v>483</v>
      </c>
      <c r="O22" s="54">
        <v>0.05</v>
      </c>
      <c r="P22" s="54">
        <v>0.16</v>
      </c>
      <c r="Q22" s="54"/>
      <c r="R22" s="54"/>
      <c r="S22" s="54"/>
      <c r="T22" s="54"/>
      <c r="U22" s="54"/>
      <c r="V22" s="54"/>
      <c r="W22" s="54"/>
      <c r="X22" s="54"/>
      <c r="Y22" s="54"/>
      <c r="Z22" s="54"/>
      <c r="AA22" s="13">
        <f>IFERROR(VLOOKUP($N22,【管理用】BR_260204!$B$3:$D$20,3,FALSE)*O22,"-")</f>
        <v>87.5</v>
      </c>
      <c r="AB22" s="13">
        <f>IFERROR(VLOOKUP($N22,【管理用】BR_260204!$B$3:$D$20,3,FALSE)*P22,"-")</f>
        <v>280</v>
      </c>
      <c r="AC22" s="13">
        <f>IFERROR(VLOOKUP($N22,【管理用】BR_260204!$B$3:$D$20,3,FALSE)*Q22,"-")</f>
        <v>0</v>
      </c>
      <c r="AD22" s="13">
        <f>IFERROR(VLOOKUP($N22,【管理用】BR_260204!$B$3:$D$20,3,FALSE)*R22,"-")</f>
        <v>0</v>
      </c>
      <c r="AE22" s="13">
        <f>IFERROR(VLOOKUP($N22,【管理用】BR_260204!$B$3:$D$20,3,FALSE)*S22,"-")</f>
        <v>0</v>
      </c>
      <c r="AF22" s="13">
        <f>IFERROR(VLOOKUP($N22,【管理用】BR_260204!$B$3:$D$20,3,FALSE)*T22,"-")</f>
        <v>0</v>
      </c>
      <c r="AG22" s="13">
        <f>IFERROR(VLOOKUP($N22,【管理用】BR_260204!$B$3:$D$20,3,FALSE)*U22,"-")</f>
        <v>0</v>
      </c>
      <c r="AH22" s="13">
        <f>IFERROR(VLOOKUP($N22,【管理用】BR_260204!$B$3:$D$20,3,FALSE)*V22,"-")</f>
        <v>0</v>
      </c>
      <c r="AI22" s="13">
        <f>IFERROR(VLOOKUP($N22,【管理用】BR_260204!$B$3:$D$20,3,FALSE)*W22,"-")</f>
        <v>0</v>
      </c>
      <c r="AJ22" s="13">
        <f>IFERROR(VLOOKUP($N22,【管理用】BR_260204!$B$3:$D$20,3,FALSE)*X22,"-")</f>
        <v>0</v>
      </c>
      <c r="AK22" s="13">
        <f>IFERROR(VLOOKUP($N22,【管理用】BR_260204!$B$3:$D$20,3,FALSE)*Y22,"-")</f>
        <v>0</v>
      </c>
      <c r="AL22" s="13">
        <f>IFERROR(VLOOKUP($N22,【管理用】BR_260204!$B$3:$D$20,3,FALSE)*Z22,"-")</f>
        <v>0</v>
      </c>
      <c r="AM22" s="13">
        <f t="shared" si="4"/>
        <v>367.5</v>
      </c>
      <c r="AN22" s="37" t="s">
        <v>355</v>
      </c>
      <c r="AP22" s="91"/>
    </row>
    <row r="23" spans="2:42">
      <c r="B23" s="45">
        <f t="shared" si="0"/>
        <v>19</v>
      </c>
      <c r="C23" s="43">
        <v>10</v>
      </c>
      <c r="D23" s="12" t="str">
        <f>IFERROR(VLOOKUP($C23,'【入力用②】案件ごと売上（D案件以上）'!$B$4:$Y$1048576,2,FALSE),"-")</f>
        <v>オムロンエキスパートエンジニアリング</v>
      </c>
      <c r="E23" s="12" t="str">
        <f>IFERROR(VLOOKUP($C23,'【入力用②】案件ごと売上（D案件以上）'!$B$4:$Y$1048576,3,FALSE),"-")</f>
        <v>データ分析</v>
      </c>
      <c r="F23" s="12" t="str">
        <f>IFERROR(VLOOKUP($C23,'【入力用②】案件ごと売上（D案件以上）'!$B$4:$Y$1048576,4,FALSE),"-")</f>
        <v>10_オムロンエキスパートエンジニアリング_データ分析</v>
      </c>
      <c r="G23" s="12" t="str">
        <f>IFERROR(VLOOKUP($C23,'【入力用②】案件ごと売上（D案件以上）'!$B$4:$Y$1048576,5,FALSE),"-")</f>
        <v>その他</v>
      </c>
      <c r="H23" s="12" t="str">
        <f>IFERROR(VLOOKUP($C23,'【入力用②】案件ごと売上（D案件以上）'!$B$4:$Y$1048576,6,FALSE),"-")</f>
        <v>A</v>
      </c>
      <c r="I23" s="13">
        <f>IFERROR(VLOOKUP($C23,'【入力用②】案件ごと売上（D案件以上）'!$B$4:$Y$1048576,8,FALSE),"-")</f>
        <v>2000</v>
      </c>
      <c r="J23" s="13">
        <f t="shared" si="1"/>
        <v>1999</v>
      </c>
      <c r="K23" s="57">
        <f t="shared" si="3"/>
        <v>1</v>
      </c>
      <c r="L23" s="13">
        <f>IFERROR(VLOOKUP($C23,'【入力用②】案件ごと売上（D案件以上）'!$B$4:$Y$1048576,11,FALSE),"-")</f>
        <v>3</v>
      </c>
      <c r="M23" s="13">
        <f t="shared" si="2"/>
        <v>666.66666666666663</v>
      </c>
      <c r="N23" s="43" t="s">
        <v>484</v>
      </c>
      <c r="O23" s="54"/>
      <c r="P23" s="54">
        <v>0.12</v>
      </c>
      <c r="Q23" s="54">
        <v>0.1</v>
      </c>
      <c r="R23" s="54">
        <v>0.1</v>
      </c>
      <c r="S23" s="54"/>
      <c r="T23" s="54"/>
      <c r="U23" s="54"/>
      <c r="V23" s="54"/>
      <c r="W23" s="54"/>
      <c r="X23" s="54"/>
      <c r="Y23" s="54"/>
      <c r="Z23" s="54"/>
      <c r="AA23" s="13">
        <f>IFERROR(VLOOKUP($N23,【管理用】BR_260204!$B$3:$D$20,3,FALSE)*O23,"-")</f>
        <v>0</v>
      </c>
      <c r="AB23" s="13">
        <f>IFERROR(VLOOKUP($N23,【管理用】BR_260204!$B$3:$D$20,3,FALSE)*P23,"-")</f>
        <v>264</v>
      </c>
      <c r="AC23" s="13">
        <f>IFERROR(VLOOKUP($N23,【管理用】BR_260204!$B$3:$D$20,3,FALSE)*Q23,"-")</f>
        <v>220</v>
      </c>
      <c r="AD23" s="13">
        <f>IFERROR(VLOOKUP($N23,【管理用】BR_260204!$B$3:$D$20,3,FALSE)*R23,"-")</f>
        <v>220</v>
      </c>
      <c r="AE23" s="13">
        <f>IFERROR(VLOOKUP($N23,【管理用】BR_260204!$B$3:$D$20,3,FALSE)*S23,"-")</f>
        <v>0</v>
      </c>
      <c r="AF23" s="13">
        <f>IFERROR(VLOOKUP($N23,【管理用】BR_260204!$B$3:$D$20,3,FALSE)*T23,"-")</f>
        <v>0</v>
      </c>
      <c r="AG23" s="13">
        <f>IFERROR(VLOOKUP($N23,【管理用】BR_260204!$B$3:$D$20,3,FALSE)*U23,"-")</f>
        <v>0</v>
      </c>
      <c r="AH23" s="13">
        <f>IFERROR(VLOOKUP($N23,【管理用】BR_260204!$B$3:$D$20,3,FALSE)*V23,"-")</f>
        <v>0</v>
      </c>
      <c r="AI23" s="13">
        <f>IFERROR(VLOOKUP($N23,【管理用】BR_260204!$B$3:$D$20,3,FALSE)*W23,"-")</f>
        <v>0</v>
      </c>
      <c r="AJ23" s="13">
        <f>IFERROR(VLOOKUP($N23,【管理用】BR_260204!$B$3:$D$20,3,FALSE)*X23,"-")</f>
        <v>0</v>
      </c>
      <c r="AK23" s="13">
        <f>IFERROR(VLOOKUP($N23,【管理用】BR_260204!$B$3:$D$20,3,FALSE)*Y23,"-")</f>
        <v>0</v>
      </c>
      <c r="AL23" s="13">
        <f>IFERROR(VLOOKUP($N23,【管理用】BR_260204!$B$3:$D$20,3,FALSE)*Z23,"-")</f>
        <v>0</v>
      </c>
      <c r="AM23" s="13">
        <f t="shared" si="4"/>
        <v>704</v>
      </c>
      <c r="AN23" s="37" t="s">
        <v>355</v>
      </c>
      <c r="AP23" s="91"/>
    </row>
    <row r="24" spans="2:42">
      <c r="B24" s="45">
        <f>ROW(A24)-4</f>
        <v>20</v>
      </c>
      <c r="C24" s="43">
        <v>10</v>
      </c>
      <c r="D24" s="12" t="str">
        <f>IFERROR(VLOOKUP($C24,'【入力用②】案件ごと売上（D案件以上）'!$B$4:$Y$1048576,2,FALSE),"-")</f>
        <v>オムロンエキスパートエンジニアリング</v>
      </c>
      <c r="E24" s="12" t="str">
        <f>IFERROR(VLOOKUP($C24,'【入力用②】案件ごと売上（D案件以上）'!$B$4:$Y$1048576,3,FALSE),"-")</f>
        <v>データ分析</v>
      </c>
      <c r="F24" s="12" t="str">
        <f>IFERROR(VLOOKUP($C24,'【入力用②】案件ごと売上（D案件以上）'!$B$4:$Y$1048576,4,FALSE),"-")</f>
        <v>10_オムロンエキスパートエンジニアリング_データ分析</v>
      </c>
      <c r="G24" s="12" t="str">
        <f>IFERROR(VLOOKUP($C24,'【入力用②】案件ごと売上（D案件以上）'!$B$4:$Y$1048576,5,FALSE),"-")</f>
        <v>その他</v>
      </c>
      <c r="H24" s="12" t="str">
        <f>IFERROR(VLOOKUP($C24,'【入力用②】案件ごと売上（D案件以上）'!$B$4:$Y$1048576,6,FALSE),"-")</f>
        <v>A</v>
      </c>
      <c r="I24" s="13">
        <f>IFERROR(VLOOKUP($C24,'【入力用②】案件ごと売上（D案件以上）'!$B$4:$Y$1048576,8,FALSE),"-")</f>
        <v>2000</v>
      </c>
      <c r="J24" s="13">
        <f t="shared" si="1"/>
        <v>1999</v>
      </c>
      <c r="K24" s="57">
        <f>IFERROR(I24-J24,"-")</f>
        <v>1</v>
      </c>
      <c r="L24" s="13">
        <f>IFERROR(VLOOKUP($C24,'【入力用②】案件ごと売上（D案件以上）'!$B$4:$Y$1048576,11,FALSE),"-")</f>
        <v>3</v>
      </c>
      <c r="M24" s="13">
        <f>IFERROR(I24/L24,"-")</f>
        <v>666.66666666666663</v>
      </c>
      <c r="N24" s="43" t="s">
        <v>483</v>
      </c>
      <c r="O24" s="54"/>
      <c r="P24" s="54">
        <v>0.15</v>
      </c>
      <c r="Q24" s="54">
        <v>0.28999999999999998</v>
      </c>
      <c r="R24" s="54">
        <v>0.3</v>
      </c>
      <c r="S24" s="54"/>
      <c r="T24" s="54"/>
      <c r="U24" s="54"/>
      <c r="V24" s="54"/>
      <c r="W24" s="54"/>
      <c r="X24" s="54"/>
      <c r="Y24" s="54"/>
      <c r="Z24" s="54"/>
      <c r="AA24" s="13">
        <f>IFERROR(VLOOKUP($N24,【管理用】BR_260204!$B$3:$D$20,3,FALSE)*O24,"-")</f>
        <v>0</v>
      </c>
      <c r="AB24" s="13">
        <f>IFERROR(VLOOKUP($N24,【管理用】BR_260204!$B$3:$D$20,3,FALSE)*P24,"-")</f>
        <v>262.5</v>
      </c>
      <c r="AC24" s="13">
        <f>IFERROR(VLOOKUP($N24,【管理用】BR_260204!$B$3:$D$20,3,FALSE)*Q24,"-")</f>
        <v>507.49999999999994</v>
      </c>
      <c r="AD24" s="13">
        <f>IFERROR(VLOOKUP($N24,【管理用】BR_260204!$B$3:$D$20,3,FALSE)*R24,"-")</f>
        <v>525</v>
      </c>
      <c r="AE24" s="13">
        <f>IFERROR(VLOOKUP($N24,【管理用】BR_260204!$B$3:$D$20,3,FALSE)*S24,"-")</f>
        <v>0</v>
      </c>
      <c r="AF24" s="13">
        <f>IFERROR(VLOOKUP($N24,【管理用】BR_260204!$B$3:$D$20,3,FALSE)*T24,"-")</f>
        <v>0</v>
      </c>
      <c r="AG24" s="13">
        <f>IFERROR(VLOOKUP($N24,【管理用】BR_260204!$B$3:$D$20,3,FALSE)*U24,"-")</f>
        <v>0</v>
      </c>
      <c r="AH24" s="13">
        <f>IFERROR(VLOOKUP($N24,【管理用】BR_260204!$B$3:$D$20,3,FALSE)*V24,"-")</f>
        <v>0</v>
      </c>
      <c r="AI24" s="13">
        <f>IFERROR(VLOOKUP($N24,【管理用】BR_260204!$B$3:$D$20,3,FALSE)*W24,"-")</f>
        <v>0</v>
      </c>
      <c r="AJ24" s="13">
        <f>IFERROR(VLOOKUP($N24,【管理用】BR_260204!$B$3:$D$20,3,FALSE)*X24,"-")</f>
        <v>0</v>
      </c>
      <c r="AK24" s="13">
        <f>IFERROR(VLOOKUP($N24,【管理用】BR_260204!$B$3:$D$20,3,FALSE)*Y24,"-")</f>
        <v>0</v>
      </c>
      <c r="AL24" s="13">
        <f>IFERROR(VLOOKUP($N24,【管理用】BR_260204!$B$3:$D$20,3,FALSE)*Z24,"-")</f>
        <v>0</v>
      </c>
      <c r="AM24" s="13">
        <f>SUM(AA24:AL24)</f>
        <v>1295</v>
      </c>
      <c r="AN24" s="37" t="s">
        <v>355</v>
      </c>
      <c r="AP24" s="91"/>
    </row>
    <row r="25" spans="2:42">
      <c r="B25" s="45">
        <f t="shared" si="0"/>
        <v>21</v>
      </c>
      <c r="C25" s="43">
        <v>11</v>
      </c>
      <c r="D25" s="12" t="str">
        <f>IFERROR(VLOOKUP($C25,'【入力用②】案件ごと売上（D案件以上）'!$B$4:$Y$1048576,2,FALSE),"-")</f>
        <v>MSプライマリー</v>
      </c>
      <c r="E25" s="12" t="str">
        <f>IFERROR(VLOOKUP($C25,'【入力用②】案件ごと売上（D案件以上）'!$B$4:$Y$1048576,3,FALSE),"-")</f>
        <v>エンゲージメントサーベイ</v>
      </c>
      <c r="F25" s="12" t="str">
        <f>IFERROR(VLOOKUP($C25,'【入力用②】案件ごと売上（D案件以上）'!$B$4:$Y$1048576,4,FALSE),"-")</f>
        <v>11_MSプライマリー_エンゲージメントサーベイ</v>
      </c>
      <c r="G25" s="12" t="str">
        <f>IFERROR(VLOOKUP($C25,'【入力用②】案件ごと売上（D案件以上）'!$B$4:$Y$1048576,5,FALSE),"-")</f>
        <v>その他</v>
      </c>
      <c r="H25" s="12" t="str">
        <f>IFERROR(VLOOKUP($C25,'【入力用②】案件ごと売上（D案件以上）'!$B$4:$Y$1048576,6,FALSE),"-")</f>
        <v>A</v>
      </c>
      <c r="I25" s="13">
        <f>IFERROR(VLOOKUP($C25,'【入力用②】案件ごと売上（D案件以上）'!$B$4:$Y$1048576,8,FALSE),"-")</f>
        <v>7000</v>
      </c>
      <c r="J25" s="13">
        <f t="shared" si="1"/>
        <v>6999.6</v>
      </c>
      <c r="K25" s="57">
        <f t="shared" si="3"/>
        <v>0.3999999999996362</v>
      </c>
      <c r="L25" s="13">
        <f>IFERROR(VLOOKUP($C25,'【入力用②】案件ごと売上（D案件以上）'!$B$4:$Y$1048576,11,FALSE),"-")</f>
        <v>4</v>
      </c>
      <c r="M25" s="13">
        <f t="shared" si="2"/>
        <v>1750</v>
      </c>
      <c r="N25" s="43" t="s">
        <v>484</v>
      </c>
      <c r="O25" s="54">
        <v>0.25</v>
      </c>
      <c r="P25" s="54">
        <v>0.4</v>
      </c>
      <c r="Q25" s="54">
        <v>0.4</v>
      </c>
      <c r="R25" s="54">
        <v>0.63800000000000001</v>
      </c>
      <c r="S25" s="54"/>
      <c r="T25" s="54"/>
      <c r="U25" s="54"/>
      <c r="V25" s="54"/>
      <c r="W25" s="54"/>
      <c r="X25" s="54"/>
      <c r="Y25" s="54"/>
      <c r="Z25" s="54"/>
      <c r="AA25" s="13">
        <f>IFERROR(VLOOKUP($N25,【管理用】BR_260204!$B$3:$D$20,3,FALSE)*O25,"-")</f>
        <v>550</v>
      </c>
      <c r="AB25" s="13">
        <f>IFERROR(VLOOKUP($N25,【管理用】BR_260204!$B$3:$D$20,3,FALSE)*P25,"-")</f>
        <v>880</v>
      </c>
      <c r="AC25" s="13">
        <f>IFERROR(VLOOKUP($N25,【管理用】BR_260204!$B$3:$D$20,3,FALSE)*Q25,"-")</f>
        <v>880</v>
      </c>
      <c r="AD25" s="13">
        <f>IFERROR(VLOOKUP($N25,【管理用】BR_260204!$B$3:$D$20,3,FALSE)*R25,"-")</f>
        <v>1403.6000000000001</v>
      </c>
      <c r="AE25" s="13">
        <f>IFERROR(VLOOKUP($N25,【管理用】BR_260204!$B$3:$D$20,3,FALSE)*S25,"-")</f>
        <v>0</v>
      </c>
      <c r="AF25" s="13">
        <f>IFERROR(VLOOKUP($N25,【管理用】BR_260204!$B$3:$D$20,3,FALSE)*T25,"-")</f>
        <v>0</v>
      </c>
      <c r="AG25" s="13">
        <f>IFERROR(VLOOKUP($N25,【管理用】BR_260204!$B$3:$D$20,3,FALSE)*U25,"-")</f>
        <v>0</v>
      </c>
      <c r="AH25" s="13">
        <f>IFERROR(VLOOKUP($N25,【管理用】BR_260204!$B$3:$D$20,3,FALSE)*V25,"-")</f>
        <v>0</v>
      </c>
      <c r="AI25" s="13">
        <f>IFERROR(VLOOKUP($N25,【管理用】BR_260204!$B$3:$D$20,3,FALSE)*W25,"-")</f>
        <v>0</v>
      </c>
      <c r="AJ25" s="13">
        <f>IFERROR(VLOOKUP($N25,【管理用】BR_260204!$B$3:$D$20,3,FALSE)*X25,"-")</f>
        <v>0</v>
      </c>
      <c r="AK25" s="13">
        <f>IFERROR(VLOOKUP($N25,【管理用】BR_260204!$B$3:$D$20,3,FALSE)*Y25,"-")</f>
        <v>0</v>
      </c>
      <c r="AL25" s="13">
        <f>IFERROR(VLOOKUP($N25,【管理用】BR_260204!$B$3:$D$20,3,FALSE)*Z25,"-")</f>
        <v>0</v>
      </c>
      <c r="AM25" s="13">
        <f t="shared" si="4"/>
        <v>3713.6000000000004</v>
      </c>
      <c r="AN25" s="37" t="s">
        <v>355</v>
      </c>
      <c r="AP25" s="91"/>
    </row>
    <row r="26" spans="2:42">
      <c r="B26" s="45">
        <f t="shared" si="0"/>
        <v>22</v>
      </c>
      <c r="C26" s="43">
        <v>11</v>
      </c>
      <c r="D26" s="12" t="str">
        <f>IFERROR(VLOOKUP($C26,'【入力用②】案件ごと売上（D案件以上）'!$B$4:$Y$1048576,2,FALSE),"-")</f>
        <v>MSプライマリー</v>
      </c>
      <c r="E26" s="12" t="str">
        <f>IFERROR(VLOOKUP($C26,'【入力用②】案件ごと売上（D案件以上）'!$B$4:$Y$1048576,3,FALSE),"-")</f>
        <v>エンゲージメントサーベイ</v>
      </c>
      <c r="F26" s="12" t="str">
        <f>IFERROR(VLOOKUP($C26,'【入力用②】案件ごと売上（D案件以上）'!$B$4:$Y$1048576,4,FALSE),"-")</f>
        <v>11_MSプライマリー_エンゲージメントサーベイ</v>
      </c>
      <c r="G26" s="12" t="str">
        <f>IFERROR(VLOOKUP($C26,'【入力用②】案件ごと売上（D案件以上）'!$B$4:$Y$1048576,5,FALSE),"-")</f>
        <v>その他</v>
      </c>
      <c r="H26" s="12" t="str">
        <f>IFERROR(VLOOKUP($C26,'【入力用②】案件ごと売上（D案件以上）'!$B$4:$Y$1048576,6,FALSE),"-")</f>
        <v>A</v>
      </c>
      <c r="I26" s="13">
        <f>IFERROR(VLOOKUP($C26,'【入力用②】案件ごと売上（D案件以上）'!$B$4:$Y$1048576,8,FALSE),"-")</f>
        <v>7000</v>
      </c>
      <c r="J26" s="13">
        <f t="shared" si="1"/>
        <v>6999.6</v>
      </c>
      <c r="K26" s="57">
        <f t="shared" si="3"/>
        <v>0.3999999999996362</v>
      </c>
      <c r="L26" s="13">
        <f>IFERROR(VLOOKUP($C26,'【入力用②】案件ごと売上（D案件以上）'!$B$4:$Y$1048576,11,FALSE),"-")</f>
        <v>4</v>
      </c>
      <c r="M26" s="13">
        <f t="shared" si="2"/>
        <v>1750</v>
      </c>
      <c r="N26" s="43" t="s">
        <v>485</v>
      </c>
      <c r="O26" s="54">
        <v>0.45</v>
      </c>
      <c r="P26" s="54">
        <v>0.25</v>
      </c>
      <c r="Q26" s="54">
        <v>0.25</v>
      </c>
      <c r="R26" s="54"/>
      <c r="S26" s="54"/>
      <c r="T26" s="54"/>
      <c r="U26" s="54"/>
      <c r="V26" s="54"/>
      <c r="W26" s="54"/>
      <c r="X26" s="54"/>
      <c r="Y26" s="54"/>
      <c r="Z26" s="54"/>
      <c r="AA26" s="13">
        <f>IFERROR(VLOOKUP($N26,【管理用】BR_260204!$B$3:$D$20,3,FALSE)*O26,"-")</f>
        <v>931.5</v>
      </c>
      <c r="AB26" s="13">
        <f>IFERROR(VLOOKUP($N26,【管理用】BR_260204!$B$3:$D$20,3,FALSE)*P26,"-")</f>
        <v>517.5</v>
      </c>
      <c r="AC26" s="13">
        <f>IFERROR(VLOOKUP($N26,【管理用】BR_260204!$B$3:$D$20,3,FALSE)*Q26,"-")</f>
        <v>517.5</v>
      </c>
      <c r="AD26" s="13">
        <f>IFERROR(VLOOKUP($N26,【管理用】BR_260204!$B$3:$D$20,3,FALSE)*R26,"-")</f>
        <v>0</v>
      </c>
      <c r="AE26" s="13">
        <f>IFERROR(VLOOKUP($N26,【管理用】BR_260204!$B$3:$D$20,3,FALSE)*S26,"-")</f>
        <v>0</v>
      </c>
      <c r="AF26" s="13">
        <f>IFERROR(VLOOKUP($N26,【管理用】BR_260204!$B$3:$D$20,3,FALSE)*T26,"-")</f>
        <v>0</v>
      </c>
      <c r="AG26" s="13">
        <f>IFERROR(VLOOKUP($N26,【管理用】BR_260204!$B$3:$D$20,3,FALSE)*U26,"-")</f>
        <v>0</v>
      </c>
      <c r="AH26" s="13">
        <f>IFERROR(VLOOKUP($N26,【管理用】BR_260204!$B$3:$D$20,3,FALSE)*V26,"-")</f>
        <v>0</v>
      </c>
      <c r="AI26" s="13">
        <f>IFERROR(VLOOKUP($N26,【管理用】BR_260204!$B$3:$D$20,3,FALSE)*W26,"-")</f>
        <v>0</v>
      </c>
      <c r="AJ26" s="13">
        <f>IFERROR(VLOOKUP($N26,【管理用】BR_260204!$B$3:$D$20,3,FALSE)*X26,"-")</f>
        <v>0</v>
      </c>
      <c r="AK26" s="13">
        <f>IFERROR(VLOOKUP($N26,【管理用】BR_260204!$B$3:$D$20,3,FALSE)*Y26,"-")</f>
        <v>0</v>
      </c>
      <c r="AL26" s="13">
        <f>IFERROR(VLOOKUP($N26,【管理用】BR_260204!$B$3:$D$20,3,FALSE)*Z26,"-")</f>
        <v>0</v>
      </c>
      <c r="AM26" s="13">
        <f t="shared" si="4"/>
        <v>1966.5</v>
      </c>
      <c r="AN26" s="37" t="s">
        <v>355</v>
      </c>
      <c r="AP26" s="91"/>
    </row>
    <row r="27" spans="2:42">
      <c r="B27" s="45">
        <f t="shared" si="0"/>
        <v>23</v>
      </c>
      <c r="C27" s="43">
        <v>11</v>
      </c>
      <c r="D27" s="12" t="str">
        <f>IFERROR(VLOOKUP($C27,'【入力用②】案件ごと売上（D案件以上）'!$B$4:$Y$1048576,2,FALSE),"-")</f>
        <v>MSプライマリー</v>
      </c>
      <c r="E27" s="12" t="str">
        <f>IFERROR(VLOOKUP($C27,'【入力用②】案件ごと売上（D案件以上）'!$B$4:$Y$1048576,3,FALSE),"-")</f>
        <v>エンゲージメントサーベイ</v>
      </c>
      <c r="F27" s="12" t="str">
        <f>IFERROR(VLOOKUP($C27,'【入力用②】案件ごと売上（D案件以上）'!$B$4:$Y$1048576,4,FALSE),"-")</f>
        <v>11_MSプライマリー_エンゲージメントサーベイ</v>
      </c>
      <c r="G27" s="12" t="str">
        <f>IFERROR(VLOOKUP($C27,'【入力用②】案件ごと売上（D案件以上）'!$B$4:$Y$1048576,5,FALSE),"-")</f>
        <v>その他</v>
      </c>
      <c r="H27" s="12" t="str">
        <f>IFERROR(VLOOKUP($C27,'【入力用②】案件ごと売上（D案件以上）'!$B$4:$Y$1048576,6,FALSE),"-")</f>
        <v>A</v>
      </c>
      <c r="I27" s="13">
        <f>IFERROR(VLOOKUP($C27,'【入力用②】案件ごと売上（D案件以上）'!$B$4:$Y$1048576,8,FALSE),"-")</f>
        <v>7000</v>
      </c>
      <c r="J27" s="13">
        <f t="shared" si="1"/>
        <v>6999.6</v>
      </c>
      <c r="K27" s="57">
        <f t="shared" si="3"/>
        <v>0.3999999999996362</v>
      </c>
      <c r="L27" s="13">
        <f>IFERROR(VLOOKUP($C27,'【入力用②】案件ごと売上（D案件以上）'!$B$4:$Y$1048576,11,FALSE),"-")</f>
        <v>4</v>
      </c>
      <c r="M27" s="13">
        <f t="shared" si="2"/>
        <v>1750</v>
      </c>
      <c r="N27" s="43" t="s">
        <v>480</v>
      </c>
      <c r="O27" s="54">
        <v>0.05</v>
      </c>
      <c r="P27" s="54">
        <v>0.05</v>
      </c>
      <c r="Q27" s="54">
        <v>0.05</v>
      </c>
      <c r="R27" s="54">
        <v>0.05</v>
      </c>
      <c r="S27" s="54"/>
      <c r="T27" s="54"/>
      <c r="U27" s="54"/>
      <c r="V27" s="54"/>
      <c r="W27" s="54"/>
      <c r="X27" s="54"/>
      <c r="Y27" s="54"/>
      <c r="Z27" s="54"/>
      <c r="AA27" s="13">
        <f>IFERROR(VLOOKUP($N27,【管理用】BR_260204!$B$3:$D$20,3,FALSE)*O27,"-")</f>
        <v>308</v>
      </c>
      <c r="AB27" s="13">
        <f>IFERROR(VLOOKUP($N27,【管理用】BR_260204!$B$3:$D$20,3,FALSE)*P27,"-")</f>
        <v>308</v>
      </c>
      <c r="AC27" s="13">
        <f>IFERROR(VLOOKUP($N27,【管理用】BR_260204!$B$3:$D$20,3,FALSE)*Q27,"-")</f>
        <v>308</v>
      </c>
      <c r="AD27" s="13">
        <f>IFERROR(VLOOKUP($N27,【管理用】BR_260204!$B$3:$D$20,3,FALSE)*R27,"-")</f>
        <v>308</v>
      </c>
      <c r="AE27" s="13">
        <f>IFERROR(VLOOKUP($N27,【管理用】BR_260204!$B$3:$D$20,3,FALSE)*S27,"-")</f>
        <v>0</v>
      </c>
      <c r="AF27" s="13">
        <f>IFERROR(VLOOKUP($N27,【管理用】BR_260204!$B$3:$D$20,3,FALSE)*T27,"-")</f>
        <v>0</v>
      </c>
      <c r="AG27" s="13">
        <f>IFERROR(VLOOKUP($N27,【管理用】BR_260204!$B$3:$D$20,3,FALSE)*U27,"-")</f>
        <v>0</v>
      </c>
      <c r="AH27" s="13">
        <f>IFERROR(VLOOKUP($N27,【管理用】BR_260204!$B$3:$D$20,3,FALSE)*V27,"-")</f>
        <v>0</v>
      </c>
      <c r="AI27" s="13">
        <f>IFERROR(VLOOKUP($N27,【管理用】BR_260204!$B$3:$D$20,3,FALSE)*W27,"-")</f>
        <v>0</v>
      </c>
      <c r="AJ27" s="13">
        <f>IFERROR(VLOOKUP($N27,【管理用】BR_260204!$B$3:$D$20,3,FALSE)*X27,"-")</f>
        <v>0</v>
      </c>
      <c r="AK27" s="13">
        <f>IFERROR(VLOOKUP($N27,【管理用】BR_260204!$B$3:$D$20,3,FALSE)*Y27,"-")</f>
        <v>0</v>
      </c>
      <c r="AL27" s="13">
        <f>IFERROR(VLOOKUP($N27,【管理用】BR_260204!$B$3:$D$20,3,FALSE)*Z27,"-")</f>
        <v>0</v>
      </c>
      <c r="AM27" s="13">
        <f t="shared" si="4"/>
        <v>1232</v>
      </c>
      <c r="AN27" s="37" t="s">
        <v>355</v>
      </c>
      <c r="AP27" s="91"/>
    </row>
    <row r="28" spans="2:42">
      <c r="B28" s="45">
        <f t="shared" si="0"/>
        <v>24</v>
      </c>
      <c r="C28" s="43">
        <v>12</v>
      </c>
      <c r="D28" s="12" t="str">
        <f>IFERROR(VLOOKUP($C28,'【入力用②】案件ごと売上（D案件以上）'!$B$4:$Y$1048576,2,FALSE),"-")</f>
        <v>アートプレスト</v>
      </c>
      <c r="E28" s="12" t="str">
        <f>IFERROR(VLOOKUP($C28,'【入力用②】案件ごと売上（D案件以上）'!$B$4:$Y$1048576,3,FALSE),"-")</f>
        <v>2025年上期人事施策実行支援</v>
      </c>
      <c r="F28" s="12" t="str">
        <f>IFERROR(VLOOKUP($C28,'【入力用②】案件ごと売上（D案件以上）'!$B$4:$Y$1048576,4,FALSE),"-")</f>
        <v>12_アートプレスト_2025年上期人事施策実行支援</v>
      </c>
      <c r="G28" s="12" t="str">
        <f>IFERROR(VLOOKUP($C28,'【入力用②】案件ごと売上（D案件以上）'!$B$4:$Y$1048576,5,FALSE),"-")</f>
        <v>その他</v>
      </c>
      <c r="H28" s="12" t="str">
        <f>IFERROR(VLOOKUP($C28,'【入力用②】案件ごと売上（D案件以上）'!$B$4:$Y$1048576,6,FALSE),"-")</f>
        <v>成立</v>
      </c>
      <c r="I28" s="13">
        <f>IFERROR(VLOOKUP($C28,'【入力用②】案件ごと売上（D案件以上）'!$B$4:$Y$1048576,8,FALSE),"-")</f>
        <v>6700</v>
      </c>
      <c r="J28" s="13">
        <f t="shared" si="1"/>
        <v>6688.1</v>
      </c>
      <c r="K28" s="57">
        <f t="shared" si="3"/>
        <v>11.899999999999636</v>
      </c>
      <c r="L28" s="13">
        <f>IFERROR(VLOOKUP($C28,'【入力用②】案件ごと売上（D案件以上）'!$B$4:$Y$1048576,11,FALSE),"-")</f>
        <v>1</v>
      </c>
      <c r="M28" s="13">
        <f t="shared" si="2"/>
        <v>6700</v>
      </c>
      <c r="N28" s="43" t="s">
        <v>486</v>
      </c>
      <c r="O28" s="54">
        <v>1.97</v>
      </c>
      <c r="P28" s="54"/>
      <c r="Q28" s="54"/>
      <c r="R28" s="54"/>
      <c r="S28" s="54"/>
      <c r="T28" s="54"/>
      <c r="U28" s="54"/>
      <c r="V28" s="54"/>
      <c r="W28" s="54"/>
      <c r="X28" s="54"/>
      <c r="Y28" s="54"/>
      <c r="Z28" s="54"/>
      <c r="AA28" s="13">
        <f>IFERROR(VLOOKUP($N28,【管理用】BR_260204!$B$3:$D$20,3,FALSE)*O28,"-")</f>
        <v>4393.1000000000004</v>
      </c>
      <c r="AB28" s="13">
        <f>IFERROR(VLOOKUP($N28,【管理用】BR_260204!$B$3:$D$20,3,FALSE)*P28,"-")</f>
        <v>0</v>
      </c>
      <c r="AC28" s="13">
        <f>IFERROR(VLOOKUP($N28,【管理用】BR_260204!$B$3:$D$20,3,FALSE)*Q28,"-")</f>
        <v>0</v>
      </c>
      <c r="AD28" s="13">
        <f>IFERROR(VLOOKUP($N28,【管理用】BR_260204!$B$3:$D$20,3,FALSE)*R28,"-")</f>
        <v>0</v>
      </c>
      <c r="AE28" s="13">
        <f>IFERROR(VLOOKUP($N28,【管理用】BR_260204!$B$3:$D$20,3,FALSE)*S28,"-")</f>
        <v>0</v>
      </c>
      <c r="AF28" s="13">
        <f>IFERROR(VLOOKUP($N28,【管理用】BR_260204!$B$3:$D$20,3,FALSE)*T28,"-")</f>
        <v>0</v>
      </c>
      <c r="AG28" s="13">
        <f>IFERROR(VLOOKUP($N28,【管理用】BR_260204!$B$3:$D$20,3,FALSE)*U28,"-")</f>
        <v>0</v>
      </c>
      <c r="AH28" s="13">
        <f>IFERROR(VLOOKUP($N28,【管理用】BR_260204!$B$3:$D$20,3,FALSE)*V28,"-")</f>
        <v>0</v>
      </c>
      <c r="AI28" s="13">
        <f>IFERROR(VLOOKUP($N28,【管理用】BR_260204!$B$3:$D$20,3,FALSE)*W28,"-")</f>
        <v>0</v>
      </c>
      <c r="AJ28" s="13">
        <f>IFERROR(VLOOKUP($N28,【管理用】BR_260204!$B$3:$D$20,3,FALSE)*X28,"-")</f>
        <v>0</v>
      </c>
      <c r="AK28" s="13">
        <f>IFERROR(VLOOKUP($N28,【管理用】BR_260204!$B$3:$D$20,3,FALSE)*Y28,"-")</f>
        <v>0</v>
      </c>
      <c r="AL28" s="13">
        <f>IFERROR(VLOOKUP($N28,【管理用】BR_260204!$B$3:$D$20,3,FALSE)*Z28,"-")</f>
        <v>0</v>
      </c>
      <c r="AM28" s="13">
        <f t="shared" si="4"/>
        <v>4393.1000000000004</v>
      </c>
      <c r="AN28" s="37" t="s">
        <v>355</v>
      </c>
      <c r="AP28" s="91"/>
    </row>
    <row r="29" spans="2:42">
      <c r="B29" s="45">
        <f t="shared" si="0"/>
        <v>25</v>
      </c>
      <c r="C29" s="43">
        <v>12</v>
      </c>
      <c r="D29" s="12" t="str">
        <f>IFERROR(VLOOKUP($C29,'【入力用②】案件ごと売上（D案件以上）'!$B$4:$Y$1048576,2,FALSE),"-")</f>
        <v>アートプレスト</v>
      </c>
      <c r="E29" s="12" t="str">
        <f>IFERROR(VLOOKUP($C29,'【入力用②】案件ごと売上（D案件以上）'!$B$4:$Y$1048576,3,FALSE),"-")</f>
        <v>2025年上期人事施策実行支援</v>
      </c>
      <c r="F29" s="12" t="str">
        <f>IFERROR(VLOOKUP($C29,'【入力用②】案件ごと売上（D案件以上）'!$B$4:$Y$1048576,4,FALSE),"-")</f>
        <v>12_アートプレスト_2025年上期人事施策実行支援</v>
      </c>
      <c r="G29" s="12" t="str">
        <f>IFERROR(VLOOKUP($C29,'【入力用②】案件ごと売上（D案件以上）'!$B$4:$Y$1048576,5,FALSE),"-")</f>
        <v>その他</v>
      </c>
      <c r="H29" s="12" t="str">
        <f>IFERROR(VLOOKUP($C29,'【入力用②】案件ごと売上（D案件以上）'!$B$4:$Y$1048576,6,FALSE),"-")</f>
        <v>成立</v>
      </c>
      <c r="I29" s="13">
        <f>IFERROR(VLOOKUP($C29,'【入力用②】案件ごと売上（D案件以上）'!$B$4:$Y$1048576,8,FALSE),"-")</f>
        <v>6700</v>
      </c>
      <c r="J29" s="13">
        <f t="shared" si="1"/>
        <v>6688.1</v>
      </c>
      <c r="K29" s="57">
        <f t="shared" si="3"/>
        <v>11.899999999999636</v>
      </c>
      <c r="L29" s="13">
        <f>IFERROR(VLOOKUP($C29,'【入力用②】案件ごと売上（D案件以上）'!$B$4:$Y$1048576,11,FALSE),"-")</f>
        <v>1</v>
      </c>
      <c r="M29" s="13">
        <f t="shared" si="2"/>
        <v>6700</v>
      </c>
      <c r="N29" s="43" t="s">
        <v>487</v>
      </c>
      <c r="O29" s="54">
        <v>0.5</v>
      </c>
      <c r="P29" s="54"/>
      <c r="Q29" s="54"/>
      <c r="R29" s="54"/>
      <c r="S29" s="54"/>
      <c r="T29" s="54"/>
      <c r="U29" s="54"/>
      <c r="V29" s="54"/>
      <c r="W29" s="54"/>
      <c r="X29" s="54"/>
      <c r="Y29" s="54"/>
      <c r="Z29" s="54"/>
      <c r="AA29" s="13">
        <f>IFERROR(VLOOKUP($N29,【管理用】BR_260204!$B$3:$D$20,3,FALSE)*O29,"-")</f>
        <v>1355</v>
      </c>
      <c r="AB29" s="13">
        <f>IFERROR(VLOOKUP($N29,【管理用】BR_260204!$B$3:$D$20,3,FALSE)*P29,"-")</f>
        <v>0</v>
      </c>
      <c r="AC29" s="13">
        <f>IFERROR(VLOOKUP($N29,【管理用】BR_260204!$B$3:$D$20,3,FALSE)*Q29,"-")</f>
        <v>0</v>
      </c>
      <c r="AD29" s="13">
        <f>IFERROR(VLOOKUP($N29,【管理用】BR_260204!$B$3:$D$20,3,FALSE)*R29,"-")</f>
        <v>0</v>
      </c>
      <c r="AE29" s="13">
        <f>IFERROR(VLOOKUP($N29,【管理用】BR_260204!$B$3:$D$20,3,FALSE)*S29,"-")</f>
        <v>0</v>
      </c>
      <c r="AF29" s="13">
        <f>IFERROR(VLOOKUP($N29,【管理用】BR_260204!$B$3:$D$20,3,FALSE)*T29,"-")</f>
        <v>0</v>
      </c>
      <c r="AG29" s="13">
        <f>IFERROR(VLOOKUP($N29,【管理用】BR_260204!$B$3:$D$20,3,FALSE)*U29,"-")</f>
        <v>0</v>
      </c>
      <c r="AH29" s="13">
        <f>IFERROR(VLOOKUP($N29,【管理用】BR_260204!$B$3:$D$20,3,FALSE)*V29,"-")</f>
        <v>0</v>
      </c>
      <c r="AI29" s="13">
        <f>IFERROR(VLOOKUP($N29,【管理用】BR_260204!$B$3:$D$20,3,FALSE)*W29,"-")</f>
        <v>0</v>
      </c>
      <c r="AJ29" s="13">
        <f>IFERROR(VLOOKUP($N29,【管理用】BR_260204!$B$3:$D$20,3,FALSE)*X29,"-")</f>
        <v>0</v>
      </c>
      <c r="AK29" s="13">
        <f>IFERROR(VLOOKUP($N29,【管理用】BR_260204!$B$3:$D$20,3,FALSE)*Y29,"-")</f>
        <v>0</v>
      </c>
      <c r="AL29" s="13">
        <f>IFERROR(VLOOKUP($N29,【管理用】BR_260204!$B$3:$D$20,3,FALSE)*Z29,"-")</f>
        <v>0</v>
      </c>
      <c r="AM29" s="13">
        <f t="shared" si="4"/>
        <v>1355</v>
      </c>
      <c r="AN29" s="37" t="s">
        <v>355</v>
      </c>
      <c r="AP29" s="91"/>
    </row>
    <row r="30" spans="2:42">
      <c r="B30" s="45">
        <f t="shared" si="0"/>
        <v>26</v>
      </c>
      <c r="C30" s="43">
        <v>12</v>
      </c>
      <c r="D30" s="12" t="str">
        <f>IFERROR(VLOOKUP($C30,'【入力用②】案件ごと売上（D案件以上）'!$B$4:$Y$1048576,2,FALSE),"-")</f>
        <v>アートプレスト</v>
      </c>
      <c r="E30" s="12" t="str">
        <f>IFERROR(VLOOKUP($C30,'【入力用②】案件ごと売上（D案件以上）'!$B$4:$Y$1048576,3,FALSE),"-")</f>
        <v>2025年上期人事施策実行支援</v>
      </c>
      <c r="F30" s="12" t="str">
        <f>IFERROR(VLOOKUP($C30,'【入力用②】案件ごと売上（D案件以上）'!$B$4:$Y$1048576,4,FALSE),"-")</f>
        <v>12_アートプレスト_2025年上期人事施策実行支援</v>
      </c>
      <c r="G30" s="12" t="str">
        <f>IFERROR(VLOOKUP($C30,'【入力用②】案件ごと売上（D案件以上）'!$B$4:$Y$1048576,5,FALSE),"-")</f>
        <v>その他</v>
      </c>
      <c r="H30" s="12" t="str">
        <f>IFERROR(VLOOKUP($C30,'【入力用②】案件ごと売上（D案件以上）'!$B$4:$Y$1048576,6,FALSE),"-")</f>
        <v>成立</v>
      </c>
      <c r="I30" s="13">
        <f>IFERROR(VLOOKUP($C30,'【入力用②】案件ごと売上（D案件以上）'!$B$4:$Y$1048576,8,FALSE),"-")</f>
        <v>6700</v>
      </c>
      <c r="J30" s="13">
        <f t="shared" si="1"/>
        <v>6688.1</v>
      </c>
      <c r="K30" s="57">
        <f t="shared" si="3"/>
        <v>11.899999999999636</v>
      </c>
      <c r="L30" s="13">
        <f>IFERROR(VLOOKUP($C30,'【入力用②】案件ごと売上（D案件以上）'!$B$4:$Y$1048576,11,FALSE),"-")</f>
        <v>1</v>
      </c>
      <c r="M30" s="13">
        <f t="shared" si="2"/>
        <v>6700</v>
      </c>
      <c r="N30" s="43" t="s">
        <v>482</v>
      </c>
      <c r="O30" s="54">
        <v>0.5</v>
      </c>
      <c r="P30" s="54"/>
      <c r="Q30" s="54"/>
      <c r="R30" s="54"/>
      <c r="S30" s="54"/>
      <c r="T30" s="54"/>
      <c r="U30" s="54"/>
      <c r="V30" s="54"/>
      <c r="W30" s="54"/>
      <c r="X30" s="54"/>
      <c r="Y30" s="54"/>
      <c r="Z30" s="54"/>
      <c r="AA30" s="13">
        <f>IFERROR(VLOOKUP($N30,【管理用】BR_260204!$B$3:$D$20,3,FALSE)*O30,"-")</f>
        <v>940</v>
      </c>
      <c r="AB30" s="13">
        <f>IFERROR(VLOOKUP($N30,【管理用】BR_260204!$B$3:$D$20,3,FALSE)*P30,"-")</f>
        <v>0</v>
      </c>
      <c r="AC30" s="13">
        <f>IFERROR(VLOOKUP($N30,【管理用】BR_260204!$B$3:$D$20,3,FALSE)*Q30,"-")</f>
        <v>0</v>
      </c>
      <c r="AD30" s="13">
        <f>IFERROR(VLOOKUP($N30,【管理用】BR_260204!$B$3:$D$20,3,FALSE)*R30,"-")</f>
        <v>0</v>
      </c>
      <c r="AE30" s="13">
        <f>IFERROR(VLOOKUP($N30,【管理用】BR_260204!$B$3:$D$20,3,FALSE)*S30,"-")</f>
        <v>0</v>
      </c>
      <c r="AF30" s="13">
        <f>IFERROR(VLOOKUP($N30,【管理用】BR_260204!$B$3:$D$20,3,FALSE)*T30,"-")</f>
        <v>0</v>
      </c>
      <c r="AG30" s="13">
        <f>IFERROR(VLOOKUP($N30,【管理用】BR_260204!$B$3:$D$20,3,FALSE)*U30,"-")</f>
        <v>0</v>
      </c>
      <c r="AH30" s="13">
        <f>IFERROR(VLOOKUP($N30,【管理用】BR_260204!$B$3:$D$20,3,FALSE)*V30,"-")</f>
        <v>0</v>
      </c>
      <c r="AI30" s="13">
        <f>IFERROR(VLOOKUP($N30,【管理用】BR_260204!$B$3:$D$20,3,FALSE)*W30,"-")</f>
        <v>0</v>
      </c>
      <c r="AJ30" s="13">
        <f>IFERROR(VLOOKUP($N30,【管理用】BR_260204!$B$3:$D$20,3,FALSE)*X30,"-")</f>
        <v>0</v>
      </c>
      <c r="AK30" s="13">
        <f>IFERROR(VLOOKUP($N30,【管理用】BR_260204!$B$3:$D$20,3,FALSE)*Y30,"-")</f>
        <v>0</v>
      </c>
      <c r="AL30" s="13">
        <f>IFERROR(VLOOKUP($N30,【管理用】BR_260204!$B$3:$D$20,3,FALSE)*Z30,"-")</f>
        <v>0</v>
      </c>
      <c r="AM30" s="13">
        <f t="shared" si="4"/>
        <v>940</v>
      </c>
      <c r="AN30" s="37" t="s">
        <v>355</v>
      </c>
      <c r="AP30" s="91"/>
    </row>
    <row r="31" spans="2:42">
      <c r="B31" s="45">
        <f t="shared" si="0"/>
        <v>27</v>
      </c>
      <c r="C31" s="43">
        <v>13</v>
      </c>
      <c r="D31" s="12" t="str">
        <f>IFERROR(VLOOKUP($C31,'【入力用②】案件ごと売上（D案件以上）'!$B$4:$Y$1048576,2,FALSE),"-")</f>
        <v>アートプレスト</v>
      </c>
      <c r="E31" s="12" t="str">
        <f>IFERROR(VLOOKUP($C31,'【入力用②】案件ごと売上（D案件以上）'!$B$4:$Y$1048576,3,FALSE),"-")</f>
        <v>2025年下期人事施策実行支援</v>
      </c>
      <c r="F31" s="12" t="str">
        <f>IFERROR(VLOOKUP($C31,'【入力用②】案件ごと売上（D案件以上）'!$B$4:$Y$1048576,4,FALSE),"-")</f>
        <v>13_アートプレスト_2025年下期人事施策実行支援</v>
      </c>
      <c r="G31" s="12" t="str">
        <f>IFERROR(VLOOKUP($C31,'【入力用②】案件ごと売上（D案件以上）'!$B$4:$Y$1048576,5,FALSE),"-")</f>
        <v>その他</v>
      </c>
      <c r="H31" s="12" t="str">
        <f>IFERROR(VLOOKUP($C31,'【入力用②】案件ごと売上（D案件以上）'!$B$4:$Y$1048576,6,FALSE),"-")</f>
        <v>成立</v>
      </c>
      <c r="I31" s="13">
        <f>IFERROR(VLOOKUP($C31,'【入力用②】案件ごと売上（D案件以上）'!$B$4:$Y$1048576,8,FALSE),"-")</f>
        <v>37900</v>
      </c>
      <c r="J31" s="13">
        <f t="shared" si="1"/>
        <v>37782.399999999994</v>
      </c>
      <c r="K31" s="57">
        <f t="shared" si="3"/>
        <v>117.60000000000582</v>
      </c>
      <c r="L31" s="13">
        <f>IFERROR(VLOOKUP($C31,'【入力用②】案件ごと売上（D案件以上）'!$B$4:$Y$1048576,11,FALSE),"-")</f>
        <v>6</v>
      </c>
      <c r="M31" s="13">
        <f t="shared" si="2"/>
        <v>6316.666666666667</v>
      </c>
      <c r="N31" s="43" t="s">
        <v>486</v>
      </c>
      <c r="O31" s="54"/>
      <c r="P31" s="54">
        <v>2.16</v>
      </c>
      <c r="Q31" s="54">
        <v>2.09</v>
      </c>
      <c r="R31" s="54">
        <v>0.9</v>
      </c>
      <c r="S31" s="54">
        <v>1.46</v>
      </c>
      <c r="T31" s="54">
        <v>1.18</v>
      </c>
      <c r="U31" s="54">
        <v>0.59</v>
      </c>
      <c r="V31" s="54"/>
      <c r="W31" s="54"/>
      <c r="X31" s="54"/>
      <c r="Y31" s="54"/>
      <c r="Z31" s="54"/>
      <c r="AA31" s="13">
        <f>IFERROR(VLOOKUP($N31,【管理用】BR_260204!$B$3:$D$20,3,FALSE)*O31,"-")</f>
        <v>0</v>
      </c>
      <c r="AB31" s="13">
        <f>IFERROR(VLOOKUP($N31,【管理用】BR_260204!$B$3:$D$20,3,FALSE)*P31,"-")</f>
        <v>4816.8</v>
      </c>
      <c r="AC31" s="13">
        <f>IFERROR(VLOOKUP($N31,【管理用】BR_260204!$B$3:$D$20,3,FALSE)*Q31,"-")</f>
        <v>4660.7</v>
      </c>
      <c r="AD31" s="13">
        <f>IFERROR(VLOOKUP($N31,【管理用】BR_260204!$B$3:$D$20,3,FALSE)*R31,"-")</f>
        <v>2007</v>
      </c>
      <c r="AE31" s="13">
        <f>IFERROR(VLOOKUP($N31,【管理用】BR_260204!$B$3:$D$20,3,FALSE)*S31,"-")</f>
        <v>3255.7999999999997</v>
      </c>
      <c r="AF31" s="13">
        <f>IFERROR(VLOOKUP($N31,【管理用】BR_260204!$B$3:$D$20,3,FALSE)*T31,"-")</f>
        <v>2631.3999999999996</v>
      </c>
      <c r="AG31" s="13">
        <f>IFERROR(VLOOKUP($N31,【管理用】BR_260204!$B$3:$D$20,3,FALSE)*U31,"-")</f>
        <v>1315.6999999999998</v>
      </c>
      <c r="AH31" s="13">
        <f>IFERROR(VLOOKUP($N31,【管理用】BR_260204!$B$3:$D$20,3,FALSE)*V31,"-")</f>
        <v>0</v>
      </c>
      <c r="AI31" s="13">
        <f>IFERROR(VLOOKUP($N31,【管理用】BR_260204!$B$3:$D$20,3,FALSE)*W31,"-")</f>
        <v>0</v>
      </c>
      <c r="AJ31" s="13">
        <f>IFERROR(VLOOKUP($N31,【管理用】BR_260204!$B$3:$D$20,3,FALSE)*X31,"-")</f>
        <v>0</v>
      </c>
      <c r="AK31" s="13">
        <f>IFERROR(VLOOKUP($N31,【管理用】BR_260204!$B$3:$D$20,3,FALSE)*Y31,"-")</f>
        <v>0</v>
      </c>
      <c r="AL31" s="13">
        <f>IFERROR(VLOOKUP($N31,【管理用】BR_260204!$B$3:$D$20,3,FALSE)*Z31,"-")</f>
        <v>0</v>
      </c>
      <c r="AM31" s="13">
        <f t="shared" si="4"/>
        <v>18687.399999999998</v>
      </c>
      <c r="AN31" s="37" t="s">
        <v>355</v>
      </c>
      <c r="AP31" s="91"/>
    </row>
    <row r="32" spans="2:42">
      <c r="B32" s="45">
        <f t="shared" si="0"/>
        <v>28</v>
      </c>
      <c r="C32" s="43">
        <v>13</v>
      </c>
      <c r="D32" s="12" t="str">
        <f>IFERROR(VLOOKUP($C32,'【入力用②】案件ごと売上（D案件以上）'!$B$4:$Y$1048576,2,FALSE),"-")</f>
        <v>アートプレスト</v>
      </c>
      <c r="E32" s="12" t="str">
        <f>IFERROR(VLOOKUP($C32,'【入力用②】案件ごと売上（D案件以上）'!$B$4:$Y$1048576,3,FALSE),"-")</f>
        <v>2025年下期人事施策実行支援</v>
      </c>
      <c r="F32" s="12" t="str">
        <f>IFERROR(VLOOKUP($C32,'【入力用②】案件ごと売上（D案件以上）'!$B$4:$Y$1048576,4,FALSE),"-")</f>
        <v>13_アートプレスト_2025年下期人事施策実行支援</v>
      </c>
      <c r="G32" s="12" t="str">
        <f>IFERROR(VLOOKUP($C32,'【入力用②】案件ごと売上（D案件以上）'!$B$4:$Y$1048576,5,FALSE),"-")</f>
        <v>その他</v>
      </c>
      <c r="H32" s="12" t="str">
        <f>IFERROR(VLOOKUP($C32,'【入力用②】案件ごと売上（D案件以上）'!$B$4:$Y$1048576,6,FALSE),"-")</f>
        <v>成立</v>
      </c>
      <c r="I32" s="13">
        <f>IFERROR(VLOOKUP($C32,'【入力用②】案件ごと売上（D案件以上）'!$B$4:$Y$1048576,8,FALSE),"-")</f>
        <v>37900</v>
      </c>
      <c r="J32" s="13">
        <f t="shared" si="1"/>
        <v>37782.399999999994</v>
      </c>
      <c r="K32" s="57">
        <f t="shared" si="3"/>
        <v>117.60000000000582</v>
      </c>
      <c r="L32" s="13">
        <f>IFERROR(VLOOKUP($C32,'【入力用②】案件ごと売上（D案件以上）'!$B$4:$Y$1048576,11,FALSE),"-")</f>
        <v>6</v>
      </c>
      <c r="M32" s="13">
        <f t="shared" si="2"/>
        <v>6316.666666666667</v>
      </c>
      <c r="N32" s="43" t="s">
        <v>487</v>
      </c>
      <c r="O32" s="54"/>
      <c r="P32" s="54">
        <v>0.7</v>
      </c>
      <c r="Q32" s="54">
        <v>0.7</v>
      </c>
      <c r="R32" s="54">
        <v>0.7</v>
      </c>
      <c r="S32" s="54">
        <v>0.5</v>
      </c>
      <c r="T32" s="54"/>
      <c r="U32" s="54"/>
      <c r="V32" s="54"/>
      <c r="W32" s="54"/>
      <c r="X32" s="54"/>
      <c r="Y32" s="54"/>
      <c r="Z32" s="54"/>
      <c r="AA32" s="13">
        <f>IFERROR(VLOOKUP($N32,【管理用】BR_260204!$B$3:$D$20,3,FALSE)*O32,"-")</f>
        <v>0</v>
      </c>
      <c r="AB32" s="13">
        <f>IFERROR(VLOOKUP($N32,【管理用】BR_260204!$B$3:$D$20,3,FALSE)*P32,"-")</f>
        <v>1896.9999999999998</v>
      </c>
      <c r="AC32" s="13">
        <f>IFERROR(VLOOKUP($N32,【管理用】BR_260204!$B$3:$D$20,3,FALSE)*Q32,"-")</f>
        <v>1896.9999999999998</v>
      </c>
      <c r="AD32" s="13">
        <f>IFERROR(VLOOKUP($N32,【管理用】BR_260204!$B$3:$D$20,3,FALSE)*R32,"-")</f>
        <v>1896.9999999999998</v>
      </c>
      <c r="AE32" s="13">
        <f>IFERROR(VLOOKUP($N32,【管理用】BR_260204!$B$3:$D$20,3,FALSE)*S32,"-")</f>
        <v>1355</v>
      </c>
      <c r="AF32" s="13">
        <f>IFERROR(VLOOKUP($N32,【管理用】BR_260204!$B$3:$D$20,3,FALSE)*T32,"-")</f>
        <v>0</v>
      </c>
      <c r="AG32" s="13">
        <f>IFERROR(VLOOKUP($N32,【管理用】BR_260204!$B$3:$D$20,3,FALSE)*U32,"-")</f>
        <v>0</v>
      </c>
      <c r="AH32" s="13">
        <f>IFERROR(VLOOKUP($N32,【管理用】BR_260204!$B$3:$D$20,3,FALSE)*V32,"-")</f>
        <v>0</v>
      </c>
      <c r="AI32" s="13">
        <f>IFERROR(VLOOKUP($N32,【管理用】BR_260204!$B$3:$D$20,3,FALSE)*W32,"-")</f>
        <v>0</v>
      </c>
      <c r="AJ32" s="13">
        <f>IFERROR(VLOOKUP($N32,【管理用】BR_260204!$B$3:$D$20,3,FALSE)*X32,"-")</f>
        <v>0</v>
      </c>
      <c r="AK32" s="13">
        <f>IFERROR(VLOOKUP($N32,【管理用】BR_260204!$B$3:$D$20,3,FALSE)*Y32,"-")</f>
        <v>0</v>
      </c>
      <c r="AL32" s="13">
        <f>IFERROR(VLOOKUP($N32,【管理用】BR_260204!$B$3:$D$20,3,FALSE)*Z32,"-")</f>
        <v>0</v>
      </c>
      <c r="AM32" s="13">
        <f t="shared" si="4"/>
        <v>7045.9999999999991</v>
      </c>
      <c r="AN32" s="37" t="s">
        <v>355</v>
      </c>
      <c r="AP32" s="91"/>
    </row>
    <row r="33" spans="2:42">
      <c r="B33" s="45">
        <f t="shared" si="0"/>
        <v>29</v>
      </c>
      <c r="C33" s="43">
        <v>13</v>
      </c>
      <c r="D33" s="12" t="str">
        <f>IFERROR(VLOOKUP($C33,'【入力用②】案件ごと売上（D案件以上）'!$B$4:$Y$1048576,2,FALSE),"-")</f>
        <v>アートプレスト</v>
      </c>
      <c r="E33" s="12" t="str">
        <f>IFERROR(VLOOKUP($C33,'【入力用②】案件ごと売上（D案件以上）'!$B$4:$Y$1048576,3,FALSE),"-")</f>
        <v>2025年下期人事施策実行支援</v>
      </c>
      <c r="F33" s="12" t="str">
        <f>IFERROR(VLOOKUP($C33,'【入力用②】案件ごと売上（D案件以上）'!$B$4:$Y$1048576,4,FALSE),"-")</f>
        <v>13_アートプレスト_2025年下期人事施策実行支援</v>
      </c>
      <c r="G33" s="12" t="str">
        <f>IFERROR(VLOOKUP($C33,'【入力用②】案件ごと売上（D案件以上）'!$B$4:$Y$1048576,5,FALSE),"-")</f>
        <v>その他</v>
      </c>
      <c r="H33" s="12" t="str">
        <f>IFERROR(VLOOKUP($C33,'【入力用②】案件ごと売上（D案件以上）'!$B$4:$Y$1048576,6,FALSE),"-")</f>
        <v>成立</v>
      </c>
      <c r="I33" s="13">
        <f>IFERROR(VLOOKUP($C33,'【入力用②】案件ごと売上（D案件以上）'!$B$4:$Y$1048576,8,FALSE),"-")</f>
        <v>37900</v>
      </c>
      <c r="J33" s="13">
        <f t="shared" si="1"/>
        <v>37782.399999999994</v>
      </c>
      <c r="K33" s="57">
        <f t="shared" si="3"/>
        <v>117.60000000000582</v>
      </c>
      <c r="L33" s="13">
        <f>IFERROR(VLOOKUP($C33,'【入力用②】案件ごと売上（D案件以上）'!$B$4:$Y$1048576,11,FALSE),"-")</f>
        <v>6</v>
      </c>
      <c r="M33" s="13">
        <f t="shared" si="2"/>
        <v>6316.666666666667</v>
      </c>
      <c r="N33" s="43" t="s">
        <v>482</v>
      </c>
      <c r="O33" s="54"/>
      <c r="P33" s="54">
        <v>0.4</v>
      </c>
      <c r="Q33" s="54">
        <v>0.4</v>
      </c>
      <c r="R33" s="54">
        <v>0.3</v>
      </c>
      <c r="S33" s="54">
        <v>0.4</v>
      </c>
      <c r="T33" s="54">
        <v>0.4</v>
      </c>
      <c r="U33" s="54">
        <v>0.4</v>
      </c>
      <c r="V33" s="54"/>
      <c r="W33" s="54"/>
      <c r="X33" s="54"/>
      <c r="Y33" s="54"/>
      <c r="Z33" s="54"/>
      <c r="AA33" s="13">
        <f>IFERROR(VLOOKUP($N33,【管理用】BR_260204!$B$3:$D$20,3,FALSE)*O33,"-")</f>
        <v>0</v>
      </c>
      <c r="AB33" s="13">
        <f>IFERROR(VLOOKUP($N33,【管理用】BR_260204!$B$3:$D$20,3,FALSE)*P33,"-")</f>
        <v>752</v>
      </c>
      <c r="AC33" s="13">
        <f>IFERROR(VLOOKUP($N33,【管理用】BR_260204!$B$3:$D$20,3,FALSE)*Q33,"-")</f>
        <v>752</v>
      </c>
      <c r="AD33" s="13">
        <f>IFERROR(VLOOKUP($N33,【管理用】BR_260204!$B$3:$D$20,3,FALSE)*R33,"-")</f>
        <v>564</v>
      </c>
      <c r="AE33" s="13">
        <f>IFERROR(VLOOKUP($N33,【管理用】BR_260204!$B$3:$D$20,3,FALSE)*S33,"-")</f>
        <v>752</v>
      </c>
      <c r="AF33" s="13">
        <f>IFERROR(VLOOKUP($N33,【管理用】BR_260204!$B$3:$D$20,3,FALSE)*T33,"-")</f>
        <v>752</v>
      </c>
      <c r="AG33" s="13">
        <f>IFERROR(VLOOKUP($N33,【管理用】BR_260204!$B$3:$D$20,3,FALSE)*U33,"-")</f>
        <v>752</v>
      </c>
      <c r="AH33" s="13">
        <f>IFERROR(VLOOKUP($N33,【管理用】BR_260204!$B$3:$D$20,3,FALSE)*V33,"-")</f>
        <v>0</v>
      </c>
      <c r="AI33" s="13">
        <f>IFERROR(VLOOKUP($N33,【管理用】BR_260204!$B$3:$D$20,3,FALSE)*W33,"-")</f>
        <v>0</v>
      </c>
      <c r="AJ33" s="13">
        <f>IFERROR(VLOOKUP($N33,【管理用】BR_260204!$B$3:$D$20,3,FALSE)*X33,"-")</f>
        <v>0</v>
      </c>
      <c r="AK33" s="13">
        <f>IFERROR(VLOOKUP($N33,【管理用】BR_260204!$B$3:$D$20,3,FALSE)*Y33,"-")</f>
        <v>0</v>
      </c>
      <c r="AL33" s="13">
        <f>IFERROR(VLOOKUP($N33,【管理用】BR_260204!$B$3:$D$20,3,FALSE)*Z33,"-")</f>
        <v>0</v>
      </c>
      <c r="AM33" s="13">
        <f t="shared" si="4"/>
        <v>4324</v>
      </c>
      <c r="AN33" s="37" t="s">
        <v>355</v>
      </c>
      <c r="AP33" s="91"/>
    </row>
    <row r="34" spans="2:42">
      <c r="B34" s="45">
        <f>ROW(A34)-4</f>
        <v>30</v>
      </c>
      <c r="C34" s="43">
        <v>13</v>
      </c>
      <c r="D34" s="12" t="str">
        <f>IFERROR(VLOOKUP($C34,'【入力用②】案件ごと売上（D案件以上）'!$B$4:$Y$1048576,2,FALSE),"-")</f>
        <v>アートプレスト</v>
      </c>
      <c r="E34" s="12" t="str">
        <f>IFERROR(VLOOKUP($C34,'【入力用②】案件ごと売上（D案件以上）'!$B$4:$Y$1048576,3,FALSE),"-")</f>
        <v>2025年下期人事施策実行支援</v>
      </c>
      <c r="F34" s="12" t="str">
        <f>IFERROR(VLOOKUP($C34,'【入力用②】案件ごと売上（D案件以上）'!$B$4:$Y$1048576,4,FALSE),"-")</f>
        <v>13_アートプレスト_2025年下期人事施策実行支援</v>
      </c>
      <c r="G34" s="12" t="str">
        <f>IFERROR(VLOOKUP($C34,'【入力用②】案件ごと売上（D案件以上）'!$B$4:$Y$1048576,5,FALSE),"-")</f>
        <v>その他</v>
      </c>
      <c r="H34" s="12" t="str">
        <f>IFERROR(VLOOKUP($C34,'【入力用②】案件ごと売上（D案件以上）'!$B$4:$Y$1048576,6,FALSE),"-")</f>
        <v>成立</v>
      </c>
      <c r="I34" s="13">
        <f>IFERROR(VLOOKUP($C34,'【入力用②】案件ごと売上（D案件以上）'!$B$4:$Y$1048576,8,FALSE),"-")</f>
        <v>37900</v>
      </c>
      <c r="J34" s="13">
        <f t="shared" si="1"/>
        <v>37782.399999999994</v>
      </c>
      <c r="K34" s="57">
        <f>IFERROR(I34-J34,"-")</f>
        <v>117.60000000000582</v>
      </c>
      <c r="L34" s="13">
        <f>IFERROR(VLOOKUP($C34,'【入力用②】案件ごと売上（D案件以上）'!$B$4:$Y$1048576,11,FALSE),"-")</f>
        <v>6</v>
      </c>
      <c r="M34" s="13">
        <f>IFERROR(I34/L34,"-")</f>
        <v>6316.666666666667</v>
      </c>
      <c r="N34" s="43" t="s">
        <v>488</v>
      </c>
      <c r="O34" s="54"/>
      <c r="P34" s="54">
        <v>0.5</v>
      </c>
      <c r="Q34" s="54">
        <v>0.5</v>
      </c>
      <c r="R34" s="54">
        <v>0.5</v>
      </c>
      <c r="S34" s="54">
        <v>0.75</v>
      </c>
      <c r="T34" s="54">
        <v>0.75</v>
      </c>
      <c r="U34" s="54">
        <v>0.75</v>
      </c>
      <c r="V34" s="54"/>
      <c r="W34" s="54"/>
      <c r="X34" s="54"/>
      <c r="Y34" s="54"/>
      <c r="Z34" s="54"/>
      <c r="AA34" s="13">
        <f>IFERROR(VLOOKUP($N34,【管理用】BR_260204!$B$3:$D$20,3,FALSE)*O34,"-")</f>
        <v>0</v>
      </c>
      <c r="AB34" s="13">
        <f>IFERROR(VLOOKUP($N34,【管理用】BR_260204!$B$3:$D$20,3,FALSE)*P34,"-")</f>
        <v>500</v>
      </c>
      <c r="AC34" s="13">
        <f>IFERROR(VLOOKUP($N34,【管理用】BR_260204!$B$3:$D$20,3,FALSE)*Q34,"-")</f>
        <v>500</v>
      </c>
      <c r="AD34" s="13">
        <f>IFERROR(VLOOKUP($N34,【管理用】BR_260204!$B$3:$D$20,3,FALSE)*R34,"-")</f>
        <v>500</v>
      </c>
      <c r="AE34" s="13">
        <f>IFERROR(VLOOKUP($N34,【管理用】BR_260204!$B$3:$D$20,3,FALSE)*S34,"-")</f>
        <v>750</v>
      </c>
      <c r="AF34" s="13">
        <f>IFERROR(VLOOKUP($N34,【管理用】BR_260204!$B$3:$D$20,3,FALSE)*T34,"-")</f>
        <v>750</v>
      </c>
      <c r="AG34" s="13">
        <f>IFERROR(VLOOKUP($N34,【管理用】BR_260204!$B$3:$D$20,3,FALSE)*U34,"-")</f>
        <v>750</v>
      </c>
      <c r="AH34" s="13">
        <f>IFERROR(VLOOKUP($N34,【管理用】BR_260204!$B$3:$D$20,3,FALSE)*V34,"-")</f>
        <v>0</v>
      </c>
      <c r="AI34" s="13">
        <f>IFERROR(VLOOKUP($N34,【管理用】BR_260204!$B$3:$D$20,3,FALSE)*W34,"-")</f>
        <v>0</v>
      </c>
      <c r="AJ34" s="13">
        <f>IFERROR(VLOOKUP($N34,【管理用】BR_260204!$B$3:$D$20,3,FALSE)*X34,"-")</f>
        <v>0</v>
      </c>
      <c r="AK34" s="13">
        <f>IFERROR(VLOOKUP($N34,【管理用】BR_260204!$B$3:$D$20,3,FALSE)*Y34,"-")</f>
        <v>0</v>
      </c>
      <c r="AL34" s="13">
        <f>IFERROR(VLOOKUP($N34,【管理用】BR_260204!$B$3:$D$20,3,FALSE)*Z34,"-")</f>
        <v>0</v>
      </c>
      <c r="AM34" s="13">
        <f>SUM(AA34:AL34)</f>
        <v>3750</v>
      </c>
      <c r="AN34" s="37" t="s">
        <v>355</v>
      </c>
      <c r="AP34" s="91"/>
    </row>
    <row r="35" spans="2:42">
      <c r="B35" s="45">
        <f>ROW(A35)-4</f>
        <v>31</v>
      </c>
      <c r="C35" s="43">
        <v>13</v>
      </c>
      <c r="D35" s="12" t="str">
        <f>IFERROR(VLOOKUP($C35,'【入力用②】案件ごと売上（D案件以上）'!$B$4:$Y$1048576,2,FALSE),"-")</f>
        <v>アートプレスト</v>
      </c>
      <c r="E35" s="12" t="str">
        <f>IFERROR(VLOOKUP($C35,'【入力用②】案件ごと売上（D案件以上）'!$B$4:$Y$1048576,3,FALSE),"-")</f>
        <v>2025年下期人事施策実行支援</v>
      </c>
      <c r="F35" s="12" t="str">
        <f>IFERROR(VLOOKUP($C35,'【入力用②】案件ごと売上（D案件以上）'!$B$4:$Y$1048576,4,FALSE),"-")</f>
        <v>13_アートプレスト_2025年下期人事施策実行支援</v>
      </c>
      <c r="G35" s="12" t="str">
        <f>IFERROR(VLOOKUP($C35,'【入力用②】案件ごと売上（D案件以上）'!$B$4:$Y$1048576,5,FALSE),"-")</f>
        <v>その他</v>
      </c>
      <c r="H35" s="12" t="str">
        <f>IFERROR(VLOOKUP($C35,'【入力用②】案件ごと売上（D案件以上）'!$B$4:$Y$1048576,6,FALSE),"-")</f>
        <v>成立</v>
      </c>
      <c r="I35" s="13">
        <f>IFERROR(VLOOKUP($C35,'【入力用②】案件ごと売上（D案件以上）'!$B$4:$Y$1048576,8,FALSE),"-")</f>
        <v>37900</v>
      </c>
      <c r="J35" s="13">
        <f t="shared" si="1"/>
        <v>37782.399999999994</v>
      </c>
      <c r="K35" s="57">
        <f>IFERROR(I35-J35,"-")</f>
        <v>117.60000000000582</v>
      </c>
      <c r="L35" s="13">
        <f>IFERROR(VLOOKUP($C35,'【入力用②】案件ごと売上（D案件以上）'!$B$4:$Y$1048576,11,FALSE),"-")</f>
        <v>6</v>
      </c>
      <c r="M35" s="13">
        <f>IFERROR(I35/L35,"-")</f>
        <v>6316.666666666667</v>
      </c>
      <c r="N35" s="43" t="s">
        <v>483</v>
      </c>
      <c r="O35" s="54"/>
      <c r="P35" s="54"/>
      <c r="Q35" s="54"/>
      <c r="R35" s="54"/>
      <c r="S35" s="54"/>
      <c r="T35" s="54">
        <v>0.1</v>
      </c>
      <c r="U35" s="54"/>
      <c r="V35" s="54"/>
      <c r="W35" s="54"/>
      <c r="X35" s="54"/>
      <c r="Y35" s="54"/>
      <c r="Z35" s="54"/>
      <c r="AA35" s="13">
        <f>IFERROR(VLOOKUP($N35,【管理用】BR_260204!$B$3:$D$20,3,FALSE)*O35,"-")</f>
        <v>0</v>
      </c>
      <c r="AB35" s="13">
        <f>IFERROR(VLOOKUP($N35,【管理用】BR_260204!$B$3:$D$20,3,FALSE)*P35,"-")</f>
        <v>0</v>
      </c>
      <c r="AC35" s="13">
        <f>IFERROR(VLOOKUP($N35,【管理用】BR_260204!$B$3:$D$20,3,FALSE)*Q35,"-")</f>
        <v>0</v>
      </c>
      <c r="AD35" s="13">
        <f>IFERROR(VLOOKUP($N35,【管理用】BR_260204!$B$3:$D$20,3,FALSE)*R35,"-")</f>
        <v>0</v>
      </c>
      <c r="AE35" s="13">
        <f>IFERROR(VLOOKUP($N35,【管理用】BR_260204!$B$3:$D$20,3,FALSE)*S35,"-")</f>
        <v>0</v>
      </c>
      <c r="AF35" s="13">
        <f>IFERROR(VLOOKUP($N35,【管理用】BR_260204!$B$3:$D$20,3,FALSE)*T35,"-")</f>
        <v>175</v>
      </c>
      <c r="AG35" s="13">
        <f>IFERROR(VLOOKUP($N35,【管理用】BR_260204!$B$3:$D$20,3,FALSE)*U35,"-")</f>
        <v>0</v>
      </c>
      <c r="AH35" s="13">
        <f>IFERROR(VLOOKUP($N35,【管理用】BR_260204!$B$3:$D$20,3,FALSE)*V35,"-")</f>
        <v>0</v>
      </c>
      <c r="AI35" s="13">
        <f>IFERROR(VLOOKUP($N35,【管理用】BR_260204!$B$3:$D$20,3,FALSE)*W35,"-")</f>
        <v>0</v>
      </c>
      <c r="AJ35" s="13">
        <f>IFERROR(VLOOKUP($N35,【管理用】BR_260204!$B$3:$D$20,3,FALSE)*X35,"-")</f>
        <v>0</v>
      </c>
      <c r="AK35" s="13">
        <f>IFERROR(VLOOKUP($N35,【管理用】BR_260204!$B$3:$D$20,3,FALSE)*Y35,"-")</f>
        <v>0</v>
      </c>
      <c r="AL35" s="13">
        <f>IFERROR(VLOOKUP($N35,【管理用】BR_260204!$B$3:$D$20,3,FALSE)*Z35,"-")</f>
        <v>0</v>
      </c>
      <c r="AM35" s="13">
        <f>SUM(AA35:AL35)</f>
        <v>175</v>
      </c>
      <c r="AN35" s="37" t="s">
        <v>355</v>
      </c>
      <c r="AP35" s="91"/>
    </row>
    <row r="36" spans="2:42">
      <c r="B36" s="45">
        <f>ROW(A36)-4</f>
        <v>32</v>
      </c>
      <c r="C36" s="43">
        <v>13</v>
      </c>
      <c r="D36" s="12" t="str">
        <f>IFERROR(VLOOKUP($C36,'【入力用②】案件ごと売上（D案件以上）'!$B$4:$Y$1048576,2,FALSE),"-")</f>
        <v>アートプレスト</v>
      </c>
      <c r="E36" s="12" t="str">
        <f>IFERROR(VLOOKUP($C36,'【入力用②】案件ごと売上（D案件以上）'!$B$4:$Y$1048576,3,FALSE),"-")</f>
        <v>2025年下期人事施策実行支援</v>
      </c>
      <c r="F36" s="12" t="str">
        <f>IFERROR(VLOOKUP($C36,'【入力用②】案件ごと売上（D案件以上）'!$B$4:$Y$1048576,4,FALSE),"-")</f>
        <v>13_アートプレスト_2025年下期人事施策実行支援</v>
      </c>
      <c r="G36" s="12" t="str">
        <f>IFERROR(VLOOKUP($C36,'【入力用②】案件ごと売上（D案件以上）'!$B$4:$Y$1048576,5,FALSE),"-")</f>
        <v>その他</v>
      </c>
      <c r="H36" s="12" t="str">
        <f>IFERROR(VLOOKUP($C36,'【入力用②】案件ごと売上（D案件以上）'!$B$4:$Y$1048576,6,FALSE),"-")</f>
        <v>成立</v>
      </c>
      <c r="I36" s="13">
        <f>IFERROR(VLOOKUP($C36,'【入力用②】案件ごと売上（D案件以上）'!$B$4:$Y$1048576,8,FALSE),"-")</f>
        <v>37900</v>
      </c>
      <c r="J36" s="13">
        <f t="shared" si="1"/>
        <v>37782.399999999994</v>
      </c>
      <c r="K36" s="57">
        <f>IFERROR(I36-J36,"-")</f>
        <v>117.60000000000582</v>
      </c>
      <c r="L36" s="13">
        <f>IFERROR(VLOOKUP($C36,'【入力用②】案件ごと売上（D案件以上）'!$B$4:$Y$1048576,11,FALSE),"-")</f>
        <v>6</v>
      </c>
      <c r="M36" s="13">
        <f>IFERROR(I36/L36,"-")</f>
        <v>6316.666666666667</v>
      </c>
      <c r="N36" s="43" t="s">
        <v>489</v>
      </c>
      <c r="O36" s="54"/>
      <c r="P36" s="54"/>
      <c r="Q36" s="54"/>
      <c r="R36" s="54"/>
      <c r="S36" s="54"/>
      <c r="T36" s="54">
        <v>0.5</v>
      </c>
      <c r="U36" s="54">
        <v>0.5</v>
      </c>
      <c r="V36" s="54"/>
      <c r="W36" s="54"/>
      <c r="X36" s="54"/>
      <c r="Y36" s="54"/>
      <c r="Z36" s="54"/>
      <c r="AA36" s="13">
        <f>IFERROR(VLOOKUP($N36,【管理用】BR_260204!$B$3:$D$20,3,FALSE)*O36,"-")</f>
        <v>0</v>
      </c>
      <c r="AB36" s="13">
        <f>IFERROR(VLOOKUP($N36,【管理用】BR_260204!$B$3:$D$20,3,FALSE)*P36,"-")</f>
        <v>0</v>
      </c>
      <c r="AC36" s="13">
        <f>IFERROR(VLOOKUP($N36,【管理用】BR_260204!$B$3:$D$20,3,FALSE)*Q36,"-")</f>
        <v>0</v>
      </c>
      <c r="AD36" s="13">
        <f>IFERROR(VLOOKUP($N36,【管理用】BR_260204!$B$3:$D$20,3,FALSE)*R36,"-")</f>
        <v>0</v>
      </c>
      <c r="AE36" s="13">
        <f>IFERROR(VLOOKUP($N36,【管理用】BR_260204!$B$3:$D$20,3,FALSE)*S36,"-")</f>
        <v>0</v>
      </c>
      <c r="AF36" s="13">
        <f>IFERROR(VLOOKUP($N36,【管理用】BR_260204!$B$3:$D$20,3,FALSE)*T36,"-")</f>
        <v>1900</v>
      </c>
      <c r="AG36" s="13">
        <f>IFERROR(VLOOKUP($N36,【管理用】BR_260204!$B$3:$D$20,3,FALSE)*U36,"-")</f>
        <v>1900</v>
      </c>
      <c r="AH36" s="13">
        <f>IFERROR(VLOOKUP($N36,【管理用】BR_260204!$B$3:$D$20,3,FALSE)*V36,"-")</f>
        <v>0</v>
      </c>
      <c r="AI36" s="13">
        <f>IFERROR(VLOOKUP($N36,【管理用】BR_260204!$B$3:$D$20,3,FALSE)*W36,"-")</f>
        <v>0</v>
      </c>
      <c r="AJ36" s="13">
        <f>IFERROR(VLOOKUP($N36,【管理用】BR_260204!$B$3:$D$20,3,FALSE)*X36,"-")</f>
        <v>0</v>
      </c>
      <c r="AK36" s="13">
        <f>IFERROR(VLOOKUP($N36,【管理用】BR_260204!$B$3:$D$20,3,FALSE)*Y36,"-")</f>
        <v>0</v>
      </c>
      <c r="AL36" s="13">
        <f>IFERROR(VLOOKUP($N36,【管理用】BR_260204!$B$3:$D$20,3,FALSE)*Z36,"-")</f>
        <v>0</v>
      </c>
      <c r="AM36" s="13">
        <f>SUM(AA36:AL36)</f>
        <v>3800</v>
      </c>
      <c r="AN36" s="37" t="s">
        <v>355</v>
      </c>
      <c r="AP36" s="91"/>
    </row>
    <row r="37" spans="2:42">
      <c r="B37" s="45">
        <f>ROW(A37)-4</f>
        <v>33</v>
      </c>
      <c r="C37" s="43">
        <v>13</v>
      </c>
      <c r="D37" s="12" t="str">
        <f>IFERROR(VLOOKUP($C37,'【入力用②】案件ごと売上（D案件以上）'!$B$4:$Y$1048576,2,FALSE),"-")</f>
        <v>アートプレスト</v>
      </c>
      <c r="E37" s="12" t="str">
        <f>IFERROR(VLOOKUP($C37,'【入力用②】案件ごと売上（D案件以上）'!$B$4:$Y$1048576,3,FALSE),"-")</f>
        <v>2025年下期人事施策実行支援</v>
      </c>
      <c r="F37" s="12" t="str">
        <f>IFERROR(VLOOKUP($C37,'【入力用②】案件ごと売上（D案件以上）'!$B$4:$Y$1048576,4,FALSE),"-")</f>
        <v>13_アートプレスト_2025年下期人事施策実行支援</v>
      </c>
      <c r="G37" s="12" t="str">
        <f>IFERROR(VLOOKUP($C37,'【入力用②】案件ごと売上（D案件以上）'!$B$4:$Y$1048576,5,FALSE),"-")</f>
        <v>その他</v>
      </c>
      <c r="H37" s="12" t="str">
        <f>IFERROR(VLOOKUP($C37,'【入力用②】案件ごと売上（D案件以上）'!$B$4:$Y$1048576,6,FALSE),"-")</f>
        <v>成立</v>
      </c>
      <c r="I37" s="13">
        <f>IFERROR(VLOOKUP($C37,'【入力用②】案件ごと売上（D案件以上）'!$B$4:$Y$1048576,8,FALSE),"-")</f>
        <v>37900</v>
      </c>
      <c r="J37" s="13">
        <f t="shared" si="1"/>
        <v>37782.399999999994</v>
      </c>
      <c r="K37" s="57">
        <f>IFERROR(I37-J37,"-")</f>
        <v>117.60000000000582</v>
      </c>
      <c r="L37" s="13">
        <f>IFERROR(VLOOKUP($C37,'【入力用②】案件ごと売上（D案件以上）'!$B$4:$Y$1048576,11,FALSE),"-")</f>
        <v>6</v>
      </c>
      <c r="M37" s="13">
        <f>IFERROR(I37/L37,"-")</f>
        <v>6316.666666666667</v>
      </c>
      <c r="N37" s="43" t="s">
        <v>412</v>
      </c>
      <c r="O37" s="54"/>
      <c r="P37" s="54"/>
      <c r="Q37" s="54"/>
      <c r="R37" s="54"/>
      <c r="S37" s="54"/>
      <c r="T37" s="54"/>
      <c r="U37" s="54"/>
      <c r="V37" s="54"/>
      <c r="W37" s="54"/>
      <c r="X37" s="54"/>
      <c r="Y37" s="54"/>
      <c r="Z37" s="54"/>
      <c r="AA37" s="13">
        <f>IFERROR(VLOOKUP($N37,【管理用】BR_260204!$B$3:$D$20,3,FALSE)*O37,"-")</f>
        <v>0</v>
      </c>
      <c r="AB37" s="13">
        <f>IFERROR(VLOOKUP($N37,【管理用】BR_260204!$B$3:$D$20,3,FALSE)*P37,"-")</f>
        <v>0</v>
      </c>
      <c r="AC37" s="13">
        <f>IFERROR(VLOOKUP($N37,【管理用】BR_260204!$B$3:$D$20,3,FALSE)*Q37,"-")</f>
        <v>0</v>
      </c>
      <c r="AD37" s="13">
        <f>IFERROR(VLOOKUP($N37,【管理用】BR_260204!$B$3:$D$20,3,FALSE)*R37,"-")</f>
        <v>0</v>
      </c>
      <c r="AE37" s="13">
        <f>IFERROR(VLOOKUP($N37,【管理用】BR_260204!$B$3:$D$20,3,FALSE)*S37,"-")</f>
        <v>0</v>
      </c>
      <c r="AF37" s="13">
        <f>IFERROR(VLOOKUP($N37,【管理用】BR_260204!$B$3:$D$20,3,FALSE)*T37,"-")</f>
        <v>0</v>
      </c>
      <c r="AG37" s="13">
        <f>IFERROR(VLOOKUP($N37,【管理用】BR_260204!$B$3:$D$20,3,FALSE)*U37,"-")</f>
        <v>0</v>
      </c>
      <c r="AH37" s="13">
        <f>IFERROR(VLOOKUP($N37,【管理用】BR_260204!$B$3:$D$20,3,FALSE)*V37,"-")</f>
        <v>0</v>
      </c>
      <c r="AI37" s="13">
        <f>IFERROR(VLOOKUP($N37,【管理用】BR_260204!$B$3:$D$20,3,FALSE)*W37,"-")</f>
        <v>0</v>
      </c>
      <c r="AJ37" s="13">
        <f>IFERROR(VLOOKUP($N37,【管理用】BR_260204!$B$3:$D$20,3,FALSE)*X37,"-")</f>
        <v>0</v>
      </c>
      <c r="AK37" s="13">
        <f>IFERROR(VLOOKUP($N37,【管理用】BR_260204!$B$3:$D$20,3,FALSE)*Y37,"-")</f>
        <v>0</v>
      </c>
      <c r="AL37" s="13">
        <f>IFERROR(VLOOKUP($N37,【管理用】BR_260204!$B$3:$D$20,3,FALSE)*Z37,"-")</f>
        <v>0</v>
      </c>
      <c r="AM37" s="13">
        <f>SUM(AA37:AL37)</f>
        <v>0</v>
      </c>
      <c r="AN37" s="37" t="s">
        <v>355</v>
      </c>
      <c r="AP37" s="91"/>
    </row>
    <row r="38" spans="2:42">
      <c r="B38" s="45">
        <f t="shared" si="0"/>
        <v>34</v>
      </c>
      <c r="C38" s="43">
        <v>14</v>
      </c>
      <c r="D38" s="12" t="str">
        <f>IFERROR(VLOOKUP($C38,'【入力用②】案件ごと売上（D案件以上）'!$B$4:$Y$1048576,2,FALSE),"-")</f>
        <v>アートプレスト</v>
      </c>
      <c r="E38" s="12" t="str">
        <f>IFERROR(VLOOKUP($C38,'【入力用②】案件ごと売上（D案件以上）'!$B$4:$Y$1048576,3,FALSE),"-")</f>
        <v>経営層候補者向け研修実行支援</v>
      </c>
      <c r="F38" s="12" t="str">
        <f>IFERROR(VLOOKUP($C38,'【入力用②】案件ごと売上（D案件以上）'!$B$4:$Y$1048576,4,FALSE),"-")</f>
        <v>14_アートプレスト_経営層候補者向け研修実行支援</v>
      </c>
      <c r="G38" s="12" t="str">
        <f>IFERROR(VLOOKUP($C38,'【入力用②】案件ごと売上（D案件以上）'!$B$4:$Y$1048576,5,FALSE),"-")</f>
        <v>人材育成</v>
      </c>
      <c r="H38" s="12" t="str">
        <f>IFERROR(VLOOKUP($C38,'【入力用②】案件ごと売上（D案件以上）'!$B$4:$Y$1048576,6,FALSE),"-")</f>
        <v>成立</v>
      </c>
      <c r="I38" s="13">
        <f>IFERROR(VLOOKUP($C38,'【入力用②】案件ごと売上（D案件以上）'!$B$4:$Y$1048576,8,FALSE),"-")</f>
        <v>250</v>
      </c>
      <c r="J38" s="13">
        <f t="shared" si="1"/>
        <v>249.76000000000002</v>
      </c>
      <c r="K38" s="57">
        <f t="shared" si="3"/>
        <v>0.23999999999998067</v>
      </c>
      <c r="L38" s="13">
        <f>IFERROR(VLOOKUP($C38,'【入力用②】案件ごと売上（D案件以上）'!$B$4:$Y$1048576,11,FALSE),"-")</f>
        <v>1</v>
      </c>
      <c r="M38" s="13">
        <f t="shared" si="2"/>
        <v>250</v>
      </c>
      <c r="N38" s="43" t="s">
        <v>486</v>
      </c>
      <c r="O38" s="54"/>
      <c r="P38" s="54"/>
      <c r="Q38" s="54">
        <v>0.112</v>
      </c>
      <c r="R38" s="54"/>
      <c r="S38" s="54"/>
      <c r="T38" s="54"/>
      <c r="U38" s="54"/>
      <c r="V38" s="54"/>
      <c r="W38" s="54"/>
      <c r="X38" s="54"/>
      <c r="Y38" s="54"/>
      <c r="Z38" s="54"/>
      <c r="AA38" s="13">
        <f>IFERROR(VLOOKUP($N38,【管理用】BR_260204!$B$3:$D$20,3,FALSE)*O38,"-")</f>
        <v>0</v>
      </c>
      <c r="AB38" s="13">
        <f>IFERROR(VLOOKUP($N38,【管理用】BR_260204!$B$3:$D$20,3,FALSE)*P38,"-")</f>
        <v>0</v>
      </c>
      <c r="AC38" s="13">
        <f>IFERROR(VLOOKUP($N38,【管理用】BR_260204!$B$3:$D$20,3,FALSE)*Q38,"-")</f>
        <v>249.76000000000002</v>
      </c>
      <c r="AD38" s="13">
        <f>IFERROR(VLOOKUP($N38,【管理用】BR_260204!$B$3:$D$20,3,FALSE)*R38,"-")</f>
        <v>0</v>
      </c>
      <c r="AE38" s="13">
        <f>IFERROR(VLOOKUP($N38,【管理用】BR_260204!$B$3:$D$20,3,FALSE)*S38,"-")</f>
        <v>0</v>
      </c>
      <c r="AF38" s="13">
        <f>IFERROR(VLOOKUP($N38,【管理用】BR_260204!$B$3:$D$20,3,FALSE)*T38,"-")</f>
        <v>0</v>
      </c>
      <c r="AG38" s="13">
        <f>IFERROR(VLOOKUP($N38,【管理用】BR_260204!$B$3:$D$20,3,FALSE)*U38,"-")</f>
        <v>0</v>
      </c>
      <c r="AH38" s="13">
        <f>IFERROR(VLOOKUP($N38,【管理用】BR_260204!$B$3:$D$20,3,FALSE)*V38,"-")</f>
        <v>0</v>
      </c>
      <c r="AI38" s="13">
        <f>IFERROR(VLOOKUP($N38,【管理用】BR_260204!$B$3:$D$20,3,FALSE)*W38,"-")</f>
        <v>0</v>
      </c>
      <c r="AJ38" s="13">
        <f>IFERROR(VLOOKUP($N38,【管理用】BR_260204!$B$3:$D$20,3,FALSE)*X38,"-")</f>
        <v>0</v>
      </c>
      <c r="AK38" s="13">
        <f>IFERROR(VLOOKUP($N38,【管理用】BR_260204!$B$3:$D$20,3,FALSE)*Y38,"-")</f>
        <v>0</v>
      </c>
      <c r="AL38" s="13">
        <f>IFERROR(VLOOKUP($N38,【管理用】BR_260204!$B$3:$D$20,3,FALSE)*Z38,"-")</f>
        <v>0</v>
      </c>
      <c r="AM38" s="13">
        <f t="shared" si="4"/>
        <v>249.76000000000002</v>
      </c>
      <c r="AN38" s="37" t="s">
        <v>355</v>
      </c>
      <c r="AP38" s="91"/>
    </row>
    <row r="39" spans="2:42">
      <c r="B39" s="45">
        <f t="shared" si="0"/>
        <v>35</v>
      </c>
      <c r="C39" s="43">
        <v>15</v>
      </c>
      <c r="D39" s="12" t="str">
        <f>IFERROR(VLOOKUP($C39,'【入力用②】案件ごと売上（D案件以上）'!$B$4:$Y$1048576,2,FALSE),"-")</f>
        <v>アートプレスト</v>
      </c>
      <c r="E39" s="12" t="str">
        <f>IFERROR(VLOOKUP($C39,'【入力用②】案件ごと売上（D案件以上）'!$B$4:$Y$1048576,3,FALSE),"-")</f>
        <v>役員研修</v>
      </c>
      <c r="F39" s="12" t="str">
        <f>IFERROR(VLOOKUP($C39,'【入力用②】案件ごと売上（D案件以上）'!$B$4:$Y$1048576,4,FALSE),"-")</f>
        <v>15_アートプレスト_役員研修</v>
      </c>
      <c r="G39" s="12" t="str">
        <f>IFERROR(VLOOKUP($C39,'【入力用②】案件ごと売上（D案件以上）'!$B$4:$Y$1048576,5,FALSE),"-")</f>
        <v>人材育成</v>
      </c>
      <c r="H39" s="12" t="str">
        <f>IFERROR(VLOOKUP($C39,'【入力用②】案件ごと売上（D案件以上）'!$B$4:$Y$1048576,6,FALSE),"-")</f>
        <v>成立</v>
      </c>
      <c r="I39" s="13">
        <f>IFERROR(VLOOKUP($C39,'【入力用②】案件ごと売上（D案件以上）'!$B$4:$Y$1048576,8,FALSE),"-")</f>
        <v>100</v>
      </c>
      <c r="J39" s="13">
        <f t="shared" si="1"/>
        <v>100.35</v>
      </c>
      <c r="K39" s="57">
        <f t="shared" si="3"/>
        <v>-0.34999999999999432</v>
      </c>
      <c r="L39" s="13">
        <f>IFERROR(VLOOKUP($C39,'【入力用②】案件ごと売上（D案件以上）'!$B$4:$Y$1048576,11,FALSE),"-")</f>
        <v>1</v>
      </c>
      <c r="M39" s="13">
        <f t="shared" si="2"/>
        <v>100</v>
      </c>
      <c r="N39" s="43" t="s">
        <v>486</v>
      </c>
      <c r="O39" s="54"/>
      <c r="P39" s="54">
        <v>4.4999999999999998E-2</v>
      </c>
      <c r="Q39" s="54"/>
      <c r="R39" s="54"/>
      <c r="S39" s="54"/>
      <c r="T39" s="54"/>
      <c r="U39" s="54"/>
      <c r="V39" s="54"/>
      <c r="W39" s="54"/>
      <c r="X39" s="54"/>
      <c r="Y39" s="54"/>
      <c r="Z39" s="54"/>
      <c r="AA39" s="13">
        <f>IFERROR(VLOOKUP($N39,【管理用】BR_260204!$B$3:$D$20,3,FALSE)*O39,"-")</f>
        <v>0</v>
      </c>
      <c r="AB39" s="13">
        <f>IFERROR(VLOOKUP($N39,【管理用】BR_260204!$B$3:$D$20,3,FALSE)*P39,"-")</f>
        <v>100.35</v>
      </c>
      <c r="AC39" s="13">
        <f>IFERROR(VLOOKUP($N39,【管理用】BR_260204!$B$3:$D$20,3,FALSE)*Q39,"-")</f>
        <v>0</v>
      </c>
      <c r="AD39" s="13">
        <f>IFERROR(VLOOKUP($N39,【管理用】BR_260204!$B$3:$D$20,3,FALSE)*R39,"-")</f>
        <v>0</v>
      </c>
      <c r="AE39" s="13">
        <f>IFERROR(VLOOKUP($N39,【管理用】BR_260204!$B$3:$D$20,3,FALSE)*S39,"-")</f>
        <v>0</v>
      </c>
      <c r="AF39" s="13">
        <f>IFERROR(VLOOKUP($N39,【管理用】BR_260204!$B$3:$D$20,3,FALSE)*T39,"-")</f>
        <v>0</v>
      </c>
      <c r="AG39" s="13">
        <f>IFERROR(VLOOKUP($N39,【管理用】BR_260204!$B$3:$D$20,3,FALSE)*U39,"-")</f>
        <v>0</v>
      </c>
      <c r="AH39" s="13">
        <f>IFERROR(VLOOKUP($N39,【管理用】BR_260204!$B$3:$D$20,3,FALSE)*V39,"-")</f>
        <v>0</v>
      </c>
      <c r="AI39" s="13">
        <f>IFERROR(VLOOKUP($N39,【管理用】BR_260204!$B$3:$D$20,3,FALSE)*W39,"-")</f>
        <v>0</v>
      </c>
      <c r="AJ39" s="13">
        <f>IFERROR(VLOOKUP($N39,【管理用】BR_260204!$B$3:$D$20,3,FALSE)*X39,"-")</f>
        <v>0</v>
      </c>
      <c r="AK39" s="13">
        <f>IFERROR(VLOOKUP($N39,【管理用】BR_260204!$B$3:$D$20,3,FALSE)*Y39,"-")</f>
        <v>0</v>
      </c>
      <c r="AL39" s="13">
        <f>IFERROR(VLOOKUP($N39,【管理用】BR_260204!$B$3:$D$20,3,FALSE)*Z39,"-")</f>
        <v>0</v>
      </c>
      <c r="AM39" s="13">
        <f t="shared" si="4"/>
        <v>100.35</v>
      </c>
      <c r="AN39" s="37" t="s">
        <v>355</v>
      </c>
      <c r="AP39" s="91"/>
    </row>
    <row r="40" spans="2:42">
      <c r="B40" s="45">
        <f t="shared" si="0"/>
        <v>36</v>
      </c>
      <c r="C40" s="43">
        <v>16</v>
      </c>
      <c r="D40" s="12" t="str">
        <f>IFERROR(VLOOKUP($C40,'【入力用②】案件ごと売上（D案件以上）'!$B$4:$Y$1048576,2,FALSE),"-")</f>
        <v>JALUX</v>
      </c>
      <c r="E40" s="12" t="str">
        <f>IFERROR(VLOOKUP($C40,'【入力用②】案件ごと売上（D案件以上）'!$B$4:$Y$1048576,3,FALSE),"-")</f>
        <v>ビジネス変革Community</v>
      </c>
      <c r="F40" s="12" t="str">
        <f>IFERROR(VLOOKUP($C40,'【入力用②】案件ごと売上（D案件以上）'!$B$4:$Y$1048576,4,FALSE),"-")</f>
        <v>16_JALUX_ビジネス変革Community</v>
      </c>
      <c r="G40" s="12" t="str">
        <f>IFERROR(VLOOKUP($C40,'【入力用②】案件ごと売上（D案件以上）'!$B$4:$Y$1048576,5,FALSE),"-")</f>
        <v>その他</v>
      </c>
      <c r="H40" s="12" t="str">
        <f>IFERROR(VLOOKUP($C40,'【入力用②】案件ごと売上（D案件以上）'!$B$4:$Y$1048576,6,FALSE),"-")</f>
        <v>成立</v>
      </c>
      <c r="I40" s="13">
        <f>IFERROR(VLOOKUP($C40,'【入力用②】案件ごと売上（D案件以上）'!$B$4:$Y$1048576,8,FALSE),"-")</f>
        <v>750</v>
      </c>
      <c r="J40" s="13">
        <v>750</v>
      </c>
      <c r="K40" s="57">
        <f t="shared" si="3"/>
        <v>0</v>
      </c>
      <c r="L40" s="13">
        <f>IFERROR(VLOOKUP($C40,'【入力用②】案件ごと売上（D案件以上）'!$B$4:$Y$1048576,11,FALSE),"-")</f>
        <v>1</v>
      </c>
      <c r="M40" s="13">
        <f t="shared" si="2"/>
        <v>750</v>
      </c>
      <c r="N40" s="43" t="s">
        <v>481</v>
      </c>
      <c r="O40" s="54"/>
      <c r="P40" s="54">
        <v>0.05</v>
      </c>
      <c r="Q40" s="54"/>
      <c r="R40" s="54"/>
      <c r="S40" s="54"/>
      <c r="T40" s="54"/>
      <c r="U40" s="54"/>
      <c r="V40" s="54"/>
      <c r="W40" s="54"/>
      <c r="X40" s="54"/>
      <c r="Y40" s="54"/>
      <c r="Z40" s="54"/>
      <c r="AA40" s="13">
        <f>IFERROR(VLOOKUP($N40,【管理用】BR_260204!$B$3:$D$20,3,FALSE)*O40,"-")</f>
        <v>0</v>
      </c>
      <c r="AB40" s="13">
        <f>IFERROR(VLOOKUP($N40,【管理用】BR_260204!$B$3:$D$20,3,FALSE)*P40,"-")</f>
        <v>425</v>
      </c>
      <c r="AC40" s="13">
        <f>IFERROR(VLOOKUP($N40,【管理用】BR_260204!$B$3:$D$20,3,FALSE)*Q40,"-")</f>
        <v>0</v>
      </c>
      <c r="AD40" s="13">
        <f>IFERROR(VLOOKUP($N40,【管理用】BR_260204!$B$3:$D$20,3,FALSE)*R40,"-")</f>
        <v>0</v>
      </c>
      <c r="AE40" s="13">
        <f>IFERROR(VLOOKUP($N40,【管理用】BR_260204!$B$3:$D$20,3,FALSE)*S40,"-")</f>
        <v>0</v>
      </c>
      <c r="AF40" s="13">
        <f>IFERROR(VLOOKUP($N40,【管理用】BR_260204!$B$3:$D$20,3,FALSE)*T40,"-")</f>
        <v>0</v>
      </c>
      <c r="AG40" s="13">
        <f>IFERROR(VLOOKUP($N40,【管理用】BR_260204!$B$3:$D$20,3,FALSE)*U40,"-")</f>
        <v>0</v>
      </c>
      <c r="AH40" s="13">
        <f>IFERROR(VLOOKUP($N40,【管理用】BR_260204!$B$3:$D$20,3,FALSE)*V40,"-")</f>
        <v>0</v>
      </c>
      <c r="AI40" s="13">
        <f>IFERROR(VLOOKUP($N40,【管理用】BR_260204!$B$3:$D$20,3,FALSE)*W40,"-")</f>
        <v>0</v>
      </c>
      <c r="AJ40" s="13">
        <f>IFERROR(VLOOKUP($N40,【管理用】BR_260204!$B$3:$D$20,3,FALSE)*X40,"-")</f>
        <v>0</v>
      </c>
      <c r="AK40" s="13">
        <f>IFERROR(VLOOKUP($N40,【管理用】BR_260204!$B$3:$D$20,3,FALSE)*Y40,"-")</f>
        <v>0</v>
      </c>
      <c r="AL40" s="13">
        <f>IFERROR(VLOOKUP($N40,【管理用】BR_260204!$B$3:$D$20,3,FALSE)*Z40,"-")</f>
        <v>0</v>
      </c>
      <c r="AM40" s="13">
        <f t="shared" si="4"/>
        <v>425</v>
      </c>
      <c r="AN40" s="37" t="s">
        <v>355</v>
      </c>
      <c r="AP40" s="91"/>
    </row>
    <row r="41" spans="2:42">
      <c r="B41" s="45">
        <f t="shared" si="0"/>
        <v>37</v>
      </c>
      <c r="C41" s="43">
        <v>16</v>
      </c>
      <c r="D41" s="12" t="str">
        <f>IFERROR(VLOOKUP($C41,'【入力用②】案件ごと売上（D案件以上）'!$B$4:$Y$1048576,2,FALSE),"-")</f>
        <v>JALUX</v>
      </c>
      <c r="E41" s="12" t="str">
        <f>IFERROR(VLOOKUP($C41,'【入力用②】案件ごと売上（D案件以上）'!$B$4:$Y$1048576,3,FALSE),"-")</f>
        <v>ビジネス変革Community</v>
      </c>
      <c r="F41" s="12" t="str">
        <f>IFERROR(VLOOKUP($C41,'【入力用②】案件ごと売上（D案件以上）'!$B$4:$Y$1048576,4,FALSE),"-")</f>
        <v>16_JALUX_ビジネス変革Community</v>
      </c>
      <c r="G41" s="12" t="str">
        <f>IFERROR(VLOOKUP($C41,'【入力用②】案件ごと売上（D案件以上）'!$B$4:$Y$1048576,5,FALSE),"-")</f>
        <v>その他</v>
      </c>
      <c r="H41" s="12" t="str">
        <f>IFERROR(VLOOKUP($C41,'【入力用②】案件ごと売上（D案件以上）'!$B$4:$Y$1048576,6,FALSE),"-")</f>
        <v>成立</v>
      </c>
      <c r="I41" s="13">
        <f>IFERROR(VLOOKUP($C41,'【入力用②】案件ごと売上（D案件以上）'!$B$4:$Y$1048576,8,FALSE),"-")</f>
        <v>750</v>
      </c>
      <c r="J41" s="13">
        <v>750</v>
      </c>
      <c r="K41" s="57">
        <f t="shared" si="3"/>
        <v>0</v>
      </c>
      <c r="L41" s="13">
        <f>IFERROR(VLOOKUP($C41,'【入力用②】案件ごと売上（D案件以上）'!$B$4:$Y$1048576,11,FALSE),"-")</f>
        <v>1</v>
      </c>
      <c r="M41" s="13">
        <f t="shared" si="2"/>
        <v>750</v>
      </c>
      <c r="N41" s="43" t="s">
        <v>487</v>
      </c>
      <c r="O41" s="54"/>
      <c r="P41" s="54">
        <v>0.21199999999999999</v>
      </c>
      <c r="Q41" s="54"/>
      <c r="R41" s="54"/>
      <c r="S41" s="54"/>
      <c r="T41" s="54"/>
      <c r="U41" s="54"/>
      <c r="V41" s="54"/>
      <c r="W41" s="54"/>
      <c r="X41" s="54"/>
      <c r="Y41" s="54"/>
      <c r="Z41" s="54"/>
      <c r="AA41" s="13">
        <f>IFERROR(VLOOKUP($N41,【管理用】BR_260204!$B$3:$D$20,3,FALSE)*O41,"-")</f>
        <v>0</v>
      </c>
      <c r="AB41" s="13">
        <f>IFERROR(VLOOKUP($N41,【管理用】BR_260204!$B$3:$D$20,3,FALSE)*P41,"-")</f>
        <v>574.52</v>
      </c>
      <c r="AC41" s="13">
        <f>IFERROR(VLOOKUP($N41,【管理用】BR_260204!$B$3:$D$20,3,FALSE)*Q41,"-")</f>
        <v>0</v>
      </c>
      <c r="AD41" s="13">
        <f>IFERROR(VLOOKUP($N41,【管理用】BR_260204!$B$3:$D$20,3,FALSE)*R41,"-")</f>
        <v>0</v>
      </c>
      <c r="AE41" s="13">
        <f>IFERROR(VLOOKUP($N41,【管理用】BR_260204!$B$3:$D$20,3,FALSE)*S41,"-")</f>
        <v>0</v>
      </c>
      <c r="AF41" s="13">
        <f>IFERROR(VLOOKUP($N41,【管理用】BR_260204!$B$3:$D$20,3,FALSE)*T41,"-")</f>
        <v>0</v>
      </c>
      <c r="AG41" s="13">
        <f>IFERROR(VLOOKUP($N41,【管理用】BR_260204!$B$3:$D$20,3,FALSE)*U41,"-")</f>
        <v>0</v>
      </c>
      <c r="AH41" s="13">
        <f>IFERROR(VLOOKUP($N41,【管理用】BR_260204!$B$3:$D$20,3,FALSE)*V41,"-")</f>
        <v>0</v>
      </c>
      <c r="AI41" s="13">
        <f>IFERROR(VLOOKUP($N41,【管理用】BR_260204!$B$3:$D$20,3,FALSE)*W41,"-")</f>
        <v>0</v>
      </c>
      <c r="AJ41" s="13">
        <f>IFERROR(VLOOKUP($N41,【管理用】BR_260204!$B$3:$D$20,3,FALSE)*X41,"-")</f>
        <v>0</v>
      </c>
      <c r="AK41" s="13">
        <f>IFERROR(VLOOKUP($N41,【管理用】BR_260204!$B$3:$D$20,3,FALSE)*Y41,"-")</f>
        <v>0</v>
      </c>
      <c r="AL41" s="13">
        <f>IFERROR(VLOOKUP($N41,【管理用】BR_260204!$B$3:$D$20,3,FALSE)*Z41,"-")</f>
        <v>0</v>
      </c>
      <c r="AM41" s="13">
        <f t="shared" si="4"/>
        <v>574.52</v>
      </c>
      <c r="AN41" s="37" t="s">
        <v>355</v>
      </c>
      <c r="AP41" s="91"/>
    </row>
    <row r="42" spans="2:42">
      <c r="B42" s="45">
        <f t="shared" si="0"/>
        <v>38</v>
      </c>
      <c r="C42" s="43">
        <v>17</v>
      </c>
      <c r="D42" s="12" t="str">
        <f>IFERROR(VLOOKUP($C42,'【入力用②】案件ごと売上（D案件以上）'!$B$4:$Y$1048576,2,FALSE),"-")</f>
        <v>JALUX</v>
      </c>
      <c r="E42" s="12" t="str">
        <f>IFERROR(VLOOKUP($C42,'【入力用②】案件ごと売上（D案件以上）'!$B$4:$Y$1048576,3,FALSE),"-")</f>
        <v>業務効率化</v>
      </c>
      <c r="F42" s="12" t="str">
        <f>IFERROR(VLOOKUP($C42,'【入力用②】案件ごと売上（D案件以上）'!$B$4:$Y$1048576,4,FALSE),"-")</f>
        <v>17_JALUX_業務効率化</v>
      </c>
      <c r="G42" s="12" t="str">
        <f>IFERROR(VLOOKUP($C42,'【入力用②】案件ごと売上（D案件以上）'!$B$4:$Y$1048576,5,FALSE),"-")</f>
        <v>その他</v>
      </c>
      <c r="H42" s="12" t="str">
        <f>IFERROR(VLOOKUP($C42,'【入力用②】案件ごと売上（D案件以上）'!$B$4:$Y$1048576,6,FALSE),"-")</f>
        <v>成立</v>
      </c>
      <c r="I42" s="13">
        <f>IFERROR(VLOOKUP($C42,'【入力用②】案件ごと売上（D案件以上）'!$B$4:$Y$1048576,8,FALSE),"-")</f>
        <v>920</v>
      </c>
      <c r="J42" s="13">
        <f t="shared" ref="J42:J73" si="7">SUMIF($C$5:$C$1048576,C42,$AM$5:$AM$1048576)</f>
        <v>271</v>
      </c>
      <c r="K42" s="57">
        <f t="shared" si="3"/>
        <v>649</v>
      </c>
      <c r="L42" s="13">
        <f>IFERROR(VLOOKUP($C42,'【入力用②】案件ごと売上（D案件以上）'!$B$4:$Y$1048576,11,FALSE),"-")</f>
        <v>2</v>
      </c>
      <c r="M42" s="13">
        <f t="shared" si="2"/>
        <v>460</v>
      </c>
      <c r="N42" s="43" t="s">
        <v>203</v>
      </c>
      <c r="O42" s="54">
        <v>0.05</v>
      </c>
      <c r="P42" s="54">
        <v>0.05</v>
      </c>
      <c r="Q42" s="54"/>
      <c r="R42" s="54"/>
      <c r="S42" s="54"/>
      <c r="T42" s="54"/>
      <c r="U42" s="54"/>
      <c r="V42" s="54"/>
      <c r="W42" s="54"/>
      <c r="X42" s="54"/>
      <c r="Y42" s="54"/>
      <c r="Z42" s="54"/>
      <c r="AA42" s="13">
        <f>IFERROR(VLOOKUP($N42,【管理用】BR_260204!$B$3:$D$20,3,FALSE)*O42,"-")</f>
        <v>135.5</v>
      </c>
      <c r="AB42" s="13">
        <f>IFERROR(VLOOKUP($N42,【管理用】BR_260204!$B$3:$D$20,3,FALSE)*P42,"-")</f>
        <v>135.5</v>
      </c>
      <c r="AC42" s="13">
        <f>IFERROR(VLOOKUP($N42,【管理用】BR_260204!$B$3:$D$20,3,FALSE)*Q42,"-")</f>
        <v>0</v>
      </c>
      <c r="AD42" s="13">
        <f>IFERROR(VLOOKUP($N42,【管理用】BR_260204!$B$3:$D$20,3,FALSE)*R42,"-")</f>
        <v>0</v>
      </c>
      <c r="AE42" s="13">
        <f>IFERROR(VLOOKUP($N42,【管理用】BR_260204!$B$3:$D$20,3,FALSE)*S42,"-")</f>
        <v>0</v>
      </c>
      <c r="AF42" s="13">
        <f>IFERROR(VLOOKUP($N42,【管理用】BR_260204!$B$3:$D$20,3,FALSE)*T42,"-")</f>
        <v>0</v>
      </c>
      <c r="AG42" s="13">
        <f>IFERROR(VLOOKUP($N42,【管理用】BR_260204!$B$3:$D$20,3,FALSE)*U42,"-")</f>
        <v>0</v>
      </c>
      <c r="AH42" s="13">
        <f>IFERROR(VLOOKUP($N42,【管理用】BR_260204!$B$3:$D$20,3,FALSE)*V42,"-")</f>
        <v>0</v>
      </c>
      <c r="AI42" s="13">
        <f>IFERROR(VLOOKUP($N42,【管理用】BR_260204!$B$3:$D$20,3,FALSE)*W42,"-")</f>
        <v>0</v>
      </c>
      <c r="AJ42" s="13">
        <f>IFERROR(VLOOKUP($N42,【管理用】BR_260204!$B$3:$D$20,3,FALSE)*X42,"-")</f>
        <v>0</v>
      </c>
      <c r="AK42" s="13">
        <f>IFERROR(VLOOKUP($N42,【管理用】BR_260204!$B$3:$D$20,3,FALSE)*Y42,"-")</f>
        <v>0</v>
      </c>
      <c r="AL42" s="13">
        <f>IFERROR(VLOOKUP($N42,【管理用】BR_260204!$B$3:$D$20,3,FALSE)*Z42,"-")</f>
        <v>0</v>
      </c>
      <c r="AM42" s="13">
        <f t="shared" si="4"/>
        <v>271</v>
      </c>
      <c r="AN42" s="37" t="s">
        <v>355</v>
      </c>
      <c r="AP42" s="91"/>
    </row>
    <row r="43" spans="2:42">
      <c r="B43" s="45">
        <f t="shared" ref="B43:B75" si="8">ROW(A43)-4</f>
        <v>39</v>
      </c>
      <c r="C43" s="43">
        <v>18</v>
      </c>
      <c r="D43" s="12" t="str">
        <f>IFERROR(VLOOKUP($C43,'【入力用②】案件ごと売上（D案件以上）'!$B$4:$Y$1048576,2,FALSE),"-")</f>
        <v>パラマウントベッド</v>
      </c>
      <c r="E43" s="12" t="str">
        <f>IFERROR(VLOOKUP($C43,'【入力用②】案件ごと売上（D案件以上）'!$B$4:$Y$1048576,3,FALSE),"-")</f>
        <v>管理職WS＆部門幹部ディスカッション</v>
      </c>
      <c r="F43" s="12" t="str">
        <f>IFERROR(VLOOKUP($C43,'【入力用②】案件ごと売上（D案件以上）'!$B$4:$Y$1048576,4,FALSE),"-")</f>
        <v>18_パラマウントベッド_管理職WS＆部門幹部ディスカッション</v>
      </c>
      <c r="G43" s="12" t="str">
        <f>IFERROR(VLOOKUP($C43,'【入力用②】案件ごと売上（D案件以上）'!$B$4:$Y$1048576,5,FALSE),"-")</f>
        <v>その他</v>
      </c>
      <c r="H43" s="12" t="str">
        <f>IFERROR(VLOOKUP($C43,'【入力用②】案件ごと売上（D案件以上）'!$B$4:$Y$1048576,6,FALSE),"-")</f>
        <v>成立</v>
      </c>
      <c r="I43" s="13">
        <f>IFERROR(VLOOKUP($C43,'【入力用②】案件ごと売上（D案件以上）'!$B$4:$Y$1048576,8,FALSE),"-")</f>
        <v>4470</v>
      </c>
      <c r="J43" s="13">
        <f t="shared" si="7"/>
        <v>2669.6</v>
      </c>
      <c r="K43" s="57">
        <f t="shared" si="3"/>
        <v>1800.4</v>
      </c>
      <c r="L43" s="13">
        <f>IFERROR(VLOOKUP($C43,'【入力用②】案件ごと売上（D案件以上）'!$B$4:$Y$1048576,11,FALSE),"-")</f>
        <v>4</v>
      </c>
      <c r="M43" s="13">
        <f t="shared" si="2"/>
        <v>1117.5</v>
      </c>
      <c r="N43" s="43" t="s">
        <v>482</v>
      </c>
      <c r="O43" s="54"/>
      <c r="P43" s="54">
        <v>1</v>
      </c>
      <c r="Q43" s="54"/>
      <c r="R43" s="54">
        <v>0.42</v>
      </c>
      <c r="S43" s="54"/>
      <c r="T43" s="54"/>
      <c r="U43" s="54"/>
      <c r="V43" s="54"/>
      <c r="W43" s="54"/>
      <c r="X43" s="54"/>
      <c r="Y43" s="54"/>
      <c r="Z43" s="54"/>
      <c r="AA43" s="13">
        <f>IFERROR(VLOOKUP($N43,【管理用】BR_260204!$B$3:$D$20,3,FALSE)*O43,"-")</f>
        <v>0</v>
      </c>
      <c r="AB43" s="13">
        <f>IFERROR(VLOOKUP($N43,【管理用】BR_260204!$B$3:$D$20,3,FALSE)*P43,"-")</f>
        <v>1880</v>
      </c>
      <c r="AC43" s="13">
        <f>IFERROR(VLOOKUP($N43,【管理用】BR_260204!$B$3:$D$20,3,FALSE)*Q43,"-")</f>
        <v>0</v>
      </c>
      <c r="AD43" s="13">
        <f>IFERROR(VLOOKUP($N43,【管理用】BR_260204!$B$3:$D$20,3,FALSE)*R43,"-")</f>
        <v>789.6</v>
      </c>
      <c r="AE43" s="13">
        <f>IFERROR(VLOOKUP($N43,【管理用】BR_260204!$B$3:$D$20,3,FALSE)*S43,"-")</f>
        <v>0</v>
      </c>
      <c r="AF43" s="13">
        <f>IFERROR(VLOOKUP($N43,【管理用】BR_260204!$B$3:$D$20,3,FALSE)*T43,"-")</f>
        <v>0</v>
      </c>
      <c r="AG43" s="13">
        <f>IFERROR(VLOOKUP($N43,【管理用】BR_260204!$B$3:$D$20,3,FALSE)*U43,"-")</f>
        <v>0</v>
      </c>
      <c r="AH43" s="13">
        <f>IFERROR(VLOOKUP($N43,【管理用】BR_260204!$B$3:$D$20,3,FALSE)*V43,"-")</f>
        <v>0</v>
      </c>
      <c r="AI43" s="13">
        <f>IFERROR(VLOOKUP($N43,【管理用】BR_260204!$B$3:$D$20,3,FALSE)*W43,"-")</f>
        <v>0</v>
      </c>
      <c r="AJ43" s="13">
        <f>IFERROR(VLOOKUP($N43,【管理用】BR_260204!$B$3:$D$20,3,FALSE)*X43,"-")</f>
        <v>0</v>
      </c>
      <c r="AK43" s="13">
        <f>IFERROR(VLOOKUP($N43,【管理用】BR_260204!$B$3:$D$20,3,FALSE)*Y43,"-")</f>
        <v>0</v>
      </c>
      <c r="AL43" s="13">
        <f>IFERROR(VLOOKUP($N43,【管理用】BR_260204!$B$3:$D$20,3,FALSE)*Z43,"-")</f>
        <v>0</v>
      </c>
      <c r="AM43" s="13">
        <f t="shared" si="4"/>
        <v>2669.6</v>
      </c>
      <c r="AN43" s="37" t="s">
        <v>355</v>
      </c>
      <c r="AP43" s="91"/>
    </row>
    <row r="44" spans="2:42">
      <c r="B44" s="45">
        <f t="shared" si="8"/>
        <v>40</v>
      </c>
      <c r="C44" s="43">
        <v>19</v>
      </c>
      <c r="D44" s="12" t="str">
        <f>IFERROR(VLOOKUP($C44,'【入力用②】案件ごと売上（D案件以上）'!$B$4:$Y$1048576,2,FALSE),"-")</f>
        <v>asics</v>
      </c>
      <c r="E44" s="12" t="str">
        <f>IFERROR(VLOOKUP($C44,'【入力用②】案件ごと売上（D案件以上）'!$B$4:$Y$1048576,3,FALSE),"-")</f>
        <v>HRBP支援</v>
      </c>
      <c r="F44" s="12" t="str">
        <f>IFERROR(VLOOKUP($C44,'【入力用②】案件ごと売上（D案件以上）'!$B$4:$Y$1048576,4,FALSE),"-")</f>
        <v>19_asics_HRBP支援</v>
      </c>
      <c r="G44" s="12" t="str">
        <f>IFERROR(VLOOKUP($C44,'【入力用②】案件ごと売上（D案件以上）'!$B$4:$Y$1048576,5,FALSE),"-")</f>
        <v>組織開発</v>
      </c>
      <c r="H44" s="12" t="str">
        <f>IFERROR(VLOOKUP($C44,'【入力用②】案件ごと売上（D案件以上）'!$B$4:$Y$1048576,6,FALSE),"-")</f>
        <v>成立</v>
      </c>
      <c r="I44" s="13">
        <f>IFERROR(VLOOKUP($C44,'【入力用②】案件ごと売上（D案件以上）'!$B$4:$Y$1048576,8,FALSE),"-")</f>
        <v>400</v>
      </c>
      <c r="J44" s="13">
        <f t="shared" si="7"/>
        <v>398.88</v>
      </c>
      <c r="K44" s="57">
        <f t="shared" si="3"/>
        <v>1.1200000000000045</v>
      </c>
      <c r="L44" s="13">
        <f>IFERROR(VLOOKUP($C44,'【入力用②】案件ごと売上（D案件以上）'!$B$4:$Y$1048576,11,FALSE),"-")</f>
        <v>1</v>
      </c>
      <c r="M44" s="13">
        <f t="shared" si="2"/>
        <v>400</v>
      </c>
      <c r="N44" s="43" t="s">
        <v>487</v>
      </c>
      <c r="O44" s="54">
        <v>0.104</v>
      </c>
      <c r="P44" s="54"/>
      <c r="Q44" s="54"/>
      <c r="R44" s="54"/>
      <c r="S44" s="54"/>
      <c r="T44" s="54"/>
      <c r="U44" s="54"/>
      <c r="V44" s="54"/>
      <c r="W44" s="54"/>
      <c r="X44" s="54"/>
      <c r="Y44" s="54"/>
      <c r="Z44" s="54"/>
      <c r="AA44" s="13">
        <f>IFERROR(VLOOKUP($N44,【管理用】BR_260204!$B$3:$D$20,3,FALSE)*O44,"-")</f>
        <v>281.83999999999997</v>
      </c>
      <c r="AB44" s="13">
        <f>IFERROR(VLOOKUP($N44,【管理用】BR_260204!$B$3:$D$20,3,FALSE)*P44,"-")</f>
        <v>0</v>
      </c>
      <c r="AC44" s="13">
        <f>IFERROR(VLOOKUP($N44,【管理用】BR_260204!$B$3:$D$20,3,FALSE)*Q44,"-")</f>
        <v>0</v>
      </c>
      <c r="AD44" s="13">
        <f>IFERROR(VLOOKUP($N44,【管理用】BR_260204!$B$3:$D$20,3,FALSE)*R44,"-")</f>
        <v>0</v>
      </c>
      <c r="AE44" s="13">
        <f>IFERROR(VLOOKUP($N44,【管理用】BR_260204!$B$3:$D$20,3,FALSE)*S44,"-")</f>
        <v>0</v>
      </c>
      <c r="AF44" s="13">
        <f>IFERROR(VLOOKUP($N44,【管理用】BR_260204!$B$3:$D$20,3,FALSE)*T44,"-")</f>
        <v>0</v>
      </c>
      <c r="AG44" s="13">
        <f>IFERROR(VLOOKUP($N44,【管理用】BR_260204!$B$3:$D$20,3,FALSE)*U44,"-")</f>
        <v>0</v>
      </c>
      <c r="AH44" s="13">
        <f>IFERROR(VLOOKUP($N44,【管理用】BR_260204!$B$3:$D$20,3,FALSE)*V44,"-")</f>
        <v>0</v>
      </c>
      <c r="AI44" s="13">
        <f>IFERROR(VLOOKUP($N44,【管理用】BR_260204!$B$3:$D$20,3,FALSE)*W44,"-")</f>
        <v>0</v>
      </c>
      <c r="AJ44" s="13">
        <f>IFERROR(VLOOKUP($N44,【管理用】BR_260204!$B$3:$D$20,3,FALSE)*X44,"-")</f>
        <v>0</v>
      </c>
      <c r="AK44" s="13">
        <f>IFERROR(VLOOKUP($N44,【管理用】BR_260204!$B$3:$D$20,3,FALSE)*Y44,"-")</f>
        <v>0</v>
      </c>
      <c r="AL44" s="13">
        <f>IFERROR(VLOOKUP($N44,【管理用】BR_260204!$B$3:$D$20,3,FALSE)*Z44,"-")</f>
        <v>0</v>
      </c>
      <c r="AM44" s="13">
        <f t="shared" si="4"/>
        <v>281.83999999999997</v>
      </c>
      <c r="AN44" s="37" t="s">
        <v>355</v>
      </c>
      <c r="AP44" s="91"/>
    </row>
    <row r="45" spans="2:42">
      <c r="B45" s="45">
        <f t="shared" si="8"/>
        <v>41</v>
      </c>
      <c r="C45" s="43">
        <v>19</v>
      </c>
      <c r="D45" s="12" t="str">
        <f>IFERROR(VLOOKUP($C45,'【入力用②】案件ごと売上（D案件以上）'!$B$4:$Y$1048576,2,FALSE),"-")</f>
        <v>asics</v>
      </c>
      <c r="E45" s="12" t="str">
        <f>IFERROR(VLOOKUP($C45,'【入力用②】案件ごと売上（D案件以上）'!$B$4:$Y$1048576,3,FALSE),"-")</f>
        <v>HRBP支援</v>
      </c>
      <c r="F45" s="12" t="str">
        <f>IFERROR(VLOOKUP($C45,'【入力用②】案件ごと売上（D案件以上）'!$B$4:$Y$1048576,4,FALSE),"-")</f>
        <v>19_asics_HRBP支援</v>
      </c>
      <c r="G45" s="12" t="str">
        <f>IFERROR(VLOOKUP($C45,'【入力用②】案件ごと売上（D案件以上）'!$B$4:$Y$1048576,5,FALSE),"-")</f>
        <v>組織開発</v>
      </c>
      <c r="H45" s="12" t="str">
        <f>IFERROR(VLOOKUP($C45,'【入力用②】案件ごと売上（D案件以上）'!$B$4:$Y$1048576,6,FALSE),"-")</f>
        <v>成立</v>
      </c>
      <c r="I45" s="13">
        <f>IFERROR(VLOOKUP($C45,'【入力用②】案件ごと売上（D案件以上）'!$B$4:$Y$1048576,8,FALSE),"-")</f>
        <v>400</v>
      </c>
      <c r="J45" s="13">
        <f t="shared" si="7"/>
        <v>398.88</v>
      </c>
      <c r="K45" s="57">
        <f t="shared" si="3"/>
        <v>1.1200000000000045</v>
      </c>
      <c r="L45" s="13">
        <f>IFERROR(VLOOKUP($C45,'【入力用②】案件ごと売上（D案件以上）'!$B$4:$Y$1048576,11,FALSE),"-")</f>
        <v>1</v>
      </c>
      <c r="M45" s="13">
        <f t="shared" si="2"/>
        <v>400</v>
      </c>
      <c r="N45" s="43" t="s">
        <v>480</v>
      </c>
      <c r="O45" s="54">
        <v>1.9E-2</v>
      </c>
      <c r="P45" s="54"/>
      <c r="Q45" s="54"/>
      <c r="R45" s="54"/>
      <c r="S45" s="54"/>
      <c r="T45" s="54"/>
      <c r="U45" s="54"/>
      <c r="V45" s="54"/>
      <c r="W45" s="54"/>
      <c r="X45" s="54"/>
      <c r="Y45" s="54"/>
      <c r="Z45" s="54"/>
      <c r="AA45" s="13">
        <f>IFERROR(VLOOKUP($N45,【管理用】BR_260204!$B$3:$D$20,3,FALSE)*O45,"-")</f>
        <v>117.03999999999999</v>
      </c>
      <c r="AB45" s="13">
        <f>IFERROR(VLOOKUP($N45,【管理用】BR_260204!$B$3:$D$20,3,FALSE)*P45,"-")</f>
        <v>0</v>
      </c>
      <c r="AC45" s="13">
        <f>IFERROR(VLOOKUP($N45,【管理用】BR_260204!$B$3:$D$20,3,FALSE)*Q45,"-")</f>
        <v>0</v>
      </c>
      <c r="AD45" s="13">
        <f>IFERROR(VLOOKUP($N45,【管理用】BR_260204!$B$3:$D$20,3,FALSE)*R45,"-")</f>
        <v>0</v>
      </c>
      <c r="AE45" s="13">
        <f>IFERROR(VLOOKUP($N45,【管理用】BR_260204!$B$3:$D$20,3,FALSE)*S45,"-")</f>
        <v>0</v>
      </c>
      <c r="AF45" s="13">
        <f>IFERROR(VLOOKUP($N45,【管理用】BR_260204!$B$3:$D$20,3,FALSE)*T45,"-")</f>
        <v>0</v>
      </c>
      <c r="AG45" s="13">
        <f>IFERROR(VLOOKUP($N45,【管理用】BR_260204!$B$3:$D$20,3,FALSE)*U45,"-")</f>
        <v>0</v>
      </c>
      <c r="AH45" s="13">
        <f>IFERROR(VLOOKUP($N45,【管理用】BR_260204!$B$3:$D$20,3,FALSE)*V45,"-")</f>
        <v>0</v>
      </c>
      <c r="AI45" s="13">
        <f>IFERROR(VLOOKUP($N45,【管理用】BR_260204!$B$3:$D$20,3,FALSE)*W45,"-")</f>
        <v>0</v>
      </c>
      <c r="AJ45" s="13">
        <f>IFERROR(VLOOKUP($N45,【管理用】BR_260204!$B$3:$D$20,3,FALSE)*X45,"-")</f>
        <v>0</v>
      </c>
      <c r="AK45" s="13">
        <f>IFERROR(VLOOKUP($N45,【管理用】BR_260204!$B$3:$D$20,3,FALSE)*Y45,"-")</f>
        <v>0</v>
      </c>
      <c r="AL45" s="13">
        <f>IFERROR(VLOOKUP($N45,【管理用】BR_260204!$B$3:$D$20,3,FALSE)*Z45,"-")</f>
        <v>0</v>
      </c>
      <c r="AM45" s="13">
        <f t="shared" si="4"/>
        <v>117.03999999999999</v>
      </c>
      <c r="AN45" s="37" t="s">
        <v>355</v>
      </c>
      <c r="AP45" s="91"/>
    </row>
    <row r="46" spans="2:42">
      <c r="B46" s="45">
        <f t="shared" si="8"/>
        <v>42</v>
      </c>
      <c r="C46" s="43">
        <v>20</v>
      </c>
      <c r="D46" s="12" t="str">
        <f>IFERROR(VLOOKUP($C46,'【入力用②】案件ごと売上（D案件以上）'!$B$4:$Y$1048576,2,FALSE),"-")</f>
        <v>コメダ</v>
      </c>
      <c r="E46" s="12" t="str">
        <f>IFERROR(VLOOKUP($C46,'【入力用②】案件ごと売上（D案件以上）'!$B$4:$Y$1048576,3,FALSE),"-")</f>
        <v>FC対応力向上</v>
      </c>
      <c r="F46" s="12" t="str">
        <f>IFERROR(VLOOKUP($C46,'【入力用②】案件ごと売上（D案件以上）'!$B$4:$Y$1048576,4,FALSE),"-")</f>
        <v>20_コメダ_FC対応力向上</v>
      </c>
      <c r="G46" s="12" t="str">
        <f>IFERROR(VLOOKUP($C46,'【入力用②】案件ごと売上（D案件以上）'!$B$4:$Y$1048576,5,FALSE),"-")</f>
        <v>人材育成</v>
      </c>
      <c r="H46" s="12" t="str">
        <f>IFERROR(VLOOKUP($C46,'【入力用②】案件ごと売上（D案件以上）'!$B$4:$Y$1048576,6,FALSE),"-")</f>
        <v>成立</v>
      </c>
      <c r="I46" s="13">
        <f>IFERROR(VLOOKUP($C46,'【入力用②】案件ごと売上（D案件以上）'!$B$4:$Y$1048576,8,FALSE),"-")</f>
        <v>2000</v>
      </c>
      <c r="J46" s="13">
        <f t="shared" si="7"/>
        <v>1999.98</v>
      </c>
      <c r="K46" s="57">
        <f t="shared" si="3"/>
        <v>1.999999999998181E-2</v>
      </c>
      <c r="L46" s="13">
        <f>IFERROR(VLOOKUP($C46,'【入力用②】案件ごと売上（D案件以上）'!$B$4:$Y$1048576,11,FALSE),"-")</f>
        <v>3</v>
      </c>
      <c r="M46" s="13">
        <f t="shared" si="2"/>
        <v>666.66666666666663</v>
      </c>
      <c r="N46" s="43" t="s">
        <v>487</v>
      </c>
      <c r="O46" s="54">
        <v>0.223</v>
      </c>
      <c r="P46" s="54">
        <v>0.223</v>
      </c>
      <c r="Q46" s="54">
        <v>0.29199999999999998</v>
      </c>
      <c r="R46" s="54"/>
      <c r="S46" s="54"/>
      <c r="T46" s="54"/>
      <c r="U46" s="54"/>
      <c r="V46" s="54"/>
      <c r="W46" s="54"/>
      <c r="X46" s="54"/>
      <c r="Y46" s="54"/>
      <c r="Z46" s="54"/>
      <c r="AA46" s="13">
        <f>IFERROR(VLOOKUP($N46,【管理用】BR_260204!$B$3:$D$20,3,FALSE)*O46,"-")</f>
        <v>604.33000000000004</v>
      </c>
      <c r="AB46" s="13">
        <f>IFERROR(VLOOKUP($N46,【管理用】BR_260204!$B$3:$D$20,3,FALSE)*P46,"-")</f>
        <v>604.33000000000004</v>
      </c>
      <c r="AC46" s="13">
        <f>IFERROR(VLOOKUP($N46,【管理用】BR_260204!$B$3:$D$20,3,FALSE)*Q46,"-")</f>
        <v>791.31999999999994</v>
      </c>
      <c r="AD46" s="13">
        <f>IFERROR(VLOOKUP($N46,【管理用】BR_260204!$B$3:$D$20,3,FALSE)*R46,"-")</f>
        <v>0</v>
      </c>
      <c r="AE46" s="13">
        <f>IFERROR(VLOOKUP($N46,【管理用】BR_260204!$B$3:$D$20,3,FALSE)*S46,"-")</f>
        <v>0</v>
      </c>
      <c r="AF46" s="13">
        <f>IFERROR(VLOOKUP($N46,【管理用】BR_260204!$B$3:$D$20,3,FALSE)*T46,"-")</f>
        <v>0</v>
      </c>
      <c r="AG46" s="13">
        <f>IFERROR(VLOOKUP($N46,【管理用】BR_260204!$B$3:$D$20,3,FALSE)*U46,"-")</f>
        <v>0</v>
      </c>
      <c r="AH46" s="13">
        <f>IFERROR(VLOOKUP($N46,【管理用】BR_260204!$B$3:$D$20,3,FALSE)*V46,"-")</f>
        <v>0</v>
      </c>
      <c r="AI46" s="13">
        <f>IFERROR(VLOOKUP($N46,【管理用】BR_260204!$B$3:$D$20,3,FALSE)*W46,"-")</f>
        <v>0</v>
      </c>
      <c r="AJ46" s="13">
        <f>IFERROR(VLOOKUP($N46,【管理用】BR_260204!$B$3:$D$20,3,FALSE)*X46,"-")</f>
        <v>0</v>
      </c>
      <c r="AK46" s="13">
        <f>IFERROR(VLOOKUP($N46,【管理用】BR_260204!$B$3:$D$20,3,FALSE)*Y46,"-")</f>
        <v>0</v>
      </c>
      <c r="AL46" s="13">
        <f>IFERROR(VLOOKUP($N46,【管理用】BR_260204!$B$3:$D$20,3,FALSE)*Z46,"-")</f>
        <v>0</v>
      </c>
      <c r="AM46" s="13">
        <f t="shared" si="4"/>
        <v>1999.98</v>
      </c>
      <c r="AN46" s="37" t="s">
        <v>355</v>
      </c>
      <c r="AP46" s="91"/>
    </row>
    <row r="47" spans="2:42">
      <c r="B47" s="45">
        <f t="shared" si="8"/>
        <v>43</v>
      </c>
      <c r="C47" s="43">
        <v>21</v>
      </c>
      <c r="D47" s="12" t="str">
        <f>IFERROR(VLOOKUP($C47,'【入力用②】案件ごと売上（D案件以上）'!$B$4:$Y$1048576,2,FALSE),"-")</f>
        <v>ローソンエンタテインメント</v>
      </c>
      <c r="E47" s="12" t="str">
        <f>IFERROR(VLOOKUP($C47,'【入力用②】案件ごと売上（D案件以上）'!$B$4:$Y$1048576,3,FALSE),"-")</f>
        <v>人事制度・育成概要設計</v>
      </c>
      <c r="F47" s="12" t="str">
        <f>IFERROR(VLOOKUP($C47,'【入力用②】案件ごと売上（D案件以上）'!$B$4:$Y$1048576,4,FALSE),"-")</f>
        <v>21_ローソンエンタテインメント_人事制度・育成概要設計</v>
      </c>
      <c r="G47" s="12" t="str">
        <f>IFERROR(VLOOKUP($C47,'【入力用②】案件ごと売上（D案件以上）'!$B$4:$Y$1048576,5,FALSE),"-")</f>
        <v>その他</v>
      </c>
      <c r="H47" s="12" t="str">
        <f>IFERROR(VLOOKUP($C47,'【入力用②】案件ごと売上（D案件以上）'!$B$4:$Y$1048576,6,FALSE),"-")</f>
        <v>成立</v>
      </c>
      <c r="I47" s="13">
        <f>IFERROR(VLOOKUP($C47,'【入力用②】案件ごと売上（D案件以上）'!$B$4:$Y$1048576,8,FALSE),"-")</f>
        <v>12300</v>
      </c>
      <c r="J47" s="13">
        <f t="shared" si="7"/>
        <v>12332.4</v>
      </c>
      <c r="K47" s="57">
        <f t="shared" si="3"/>
        <v>-32.399999999999636</v>
      </c>
      <c r="L47" s="13">
        <f>IFERROR(VLOOKUP($C47,'【入力用②】案件ごと売上（D案件以上）'!$B$4:$Y$1048576,11,FALSE),"-")</f>
        <v>6</v>
      </c>
      <c r="M47" s="13">
        <f t="shared" si="2"/>
        <v>2050</v>
      </c>
      <c r="N47" s="43" t="s">
        <v>480</v>
      </c>
      <c r="O47" s="54">
        <v>0.09</v>
      </c>
      <c r="P47" s="54">
        <v>0.09</v>
      </c>
      <c r="Q47" s="54">
        <v>0.09</v>
      </c>
      <c r="R47" s="54">
        <v>0.09</v>
      </c>
      <c r="S47" s="54">
        <v>0.09</v>
      </c>
      <c r="T47" s="54">
        <v>0.09</v>
      </c>
      <c r="U47" s="54"/>
      <c r="V47" s="54"/>
      <c r="W47" s="54"/>
      <c r="X47" s="54"/>
      <c r="Y47" s="54"/>
      <c r="Z47" s="54"/>
      <c r="AA47" s="13">
        <f>IFERROR(VLOOKUP($N47,【管理用】BR_260204!$B$3:$D$20,3,FALSE)*O47,"-")</f>
        <v>554.4</v>
      </c>
      <c r="AB47" s="13">
        <f>IFERROR(VLOOKUP($N47,【管理用】BR_260204!$B$3:$D$20,3,FALSE)*P47,"-")</f>
        <v>554.4</v>
      </c>
      <c r="AC47" s="13">
        <f>IFERROR(VLOOKUP($N47,【管理用】BR_260204!$B$3:$D$20,3,FALSE)*Q47,"-")</f>
        <v>554.4</v>
      </c>
      <c r="AD47" s="13">
        <f>IFERROR(VLOOKUP($N47,【管理用】BR_260204!$B$3:$D$20,3,FALSE)*R47,"-")</f>
        <v>554.4</v>
      </c>
      <c r="AE47" s="13">
        <f>IFERROR(VLOOKUP($N47,【管理用】BR_260204!$B$3:$D$20,3,FALSE)*S47,"-")</f>
        <v>554.4</v>
      </c>
      <c r="AF47" s="13">
        <f>IFERROR(VLOOKUP($N47,【管理用】BR_260204!$B$3:$D$20,3,FALSE)*T47,"-")</f>
        <v>554.4</v>
      </c>
      <c r="AG47" s="13">
        <f>IFERROR(VLOOKUP($N47,【管理用】BR_260204!$B$3:$D$20,3,FALSE)*U47,"-")</f>
        <v>0</v>
      </c>
      <c r="AH47" s="13">
        <f>IFERROR(VLOOKUP($N47,【管理用】BR_260204!$B$3:$D$20,3,FALSE)*V47,"-")</f>
        <v>0</v>
      </c>
      <c r="AI47" s="13">
        <f>IFERROR(VLOOKUP($N47,【管理用】BR_260204!$B$3:$D$20,3,FALSE)*W47,"-")</f>
        <v>0</v>
      </c>
      <c r="AJ47" s="13">
        <f>IFERROR(VLOOKUP($N47,【管理用】BR_260204!$B$3:$D$20,3,FALSE)*X47,"-")</f>
        <v>0</v>
      </c>
      <c r="AK47" s="13">
        <f>IFERROR(VLOOKUP($N47,【管理用】BR_260204!$B$3:$D$20,3,FALSE)*Y47,"-")</f>
        <v>0</v>
      </c>
      <c r="AL47" s="13">
        <f>IFERROR(VLOOKUP($N47,【管理用】BR_260204!$B$3:$D$20,3,FALSE)*Z47,"-")</f>
        <v>0</v>
      </c>
      <c r="AM47" s="13">
        <f t="shared" si="4"/>
        <v>3326.4</v>
      </c>
      <c r="AN47" s="37" t="s">
        <v>355</v>
      </c>
      <c r="AP47" s="91"/>
    </row>
    <row r="48" spans="2:42">
      <c r="B48" s="45">
        <f t="shared" si="8"/>
        <v>44</v>
      </c>
      <c r="C48" s="43">
        <v>21</v>
      </c>
      <c r="D48" s="12" t="str">
        <f>IFERROR(VLOOKUP($C48,'【入力用②】案件ごと売上（D案件以上）'!$B$4:$Y$1048576,2,FALSE),"-")</f>
        <v>ローソンエンタテインメント</v>
      </c>
      <c r="E48" s="12" t="str">
        <f>IFERROR(VLOOKUP($C48,'【入力用②】案件ごと売上（D案件以上）'!$B$4:$Y$1048576,3,FALSE),"-")</f>
        <v>人事制度・育成概要設計</v>
      </c>
      <c r="F48" s="12" t="str">
        <f>IFERROR(VLOOKUP($C48,'【入力用②】案件ごと売上（D案件以上）'!$B$4:$Y$1048576,4,FALSE),"-")</f>
        <v>21_ローソンエンタテインメント_人事制度・育成概要設計</v>
      </c>
      <c r="G48" s="12" t="str">
        <f>IFERROR(VLOOKUP($C48,'【入力用②】案件ごと売上（D案件以上）'!$B$4:$Y$1048576,5,FALSE),"-")</f>
        <v>その他</v>
      </c>
      <c r="H48" s="12" t="str">
        <f>IFERROR(VLOOKUP($C48,'【入力用②】案件ごと売上（D案件以上）'!$B$4:$Y$1048576,6,FALSE),"-")</f>
        <v>成立</v>
      </c>
      <c r="I48" s="13">
        <f>IFERROR(VLOOKUP($C48,'【入力用②】案件ごと売上（D案件以上）'!$B$4:$Y$1048576,8,FALSE),"-")</f>
        <v>12300</v>
      </c>
      <c r="J48" s="13">
        <f t="shared" si="7"/>
        <v>12332.4</v>
      </c>
      <c r="K48" s="57">
        <f t="shared" si="3"/>
        <v>-32.399999999999636</v>
      </c>
      <c r="L48" s="13">
        <f>IFERROR(VLOOKUP($C48,'【入力用②】案件ごと売上（D案件以上）'!$B$4:$Y$1048576,11,FALSE),"-")</f>
        <v>6</v>
      </c>
      <c r="M48" s="13">
        <f t="shared" si="2"/>
        <v>2050</v>
      </c>
      <c r="N48" s="43" t="s">
        <v>484</v>
      </c>
      <c r="O48" s="54">
        <v>0.4</v>
      </c>
      <c r="P48" s="54">
        <v>0.4</v>
      </c>
      <c r="Q48" s="54">
        <v>0.4</v>
      </c>
      <c r="R48" s="54">
        <v>0.4</v>
      </c>
      <c r="S48" s="54">
        <v>0.4</v>
      </c>
      <c r="T48" s="54">
        <v>0.4</v>
      </c>
      <c r="U48" s="54"/>
      <c r="V48" s="54"/>
      <c r="W48" s="54"/>
      <c r="X48" s="54"/>
      <c r="Y48" s="54"/>
      <c r="Z48" s="54"/>
      <c r="AA48" s="13">
        <f>IFERROR(VLOOKUP($N48,【管理用】BR_260204!$B$3:$D$20,3,FALSE)*O48,"-")</f>
        <v>880</v>
      </c>
      <c r="AB48" s="13">
        <f>IFERROR(VLOOKUP($N48,【管理用】BR_260204!$B$3:$D$20,3,FALSE)*P48,"-")</f>
        <v>880</v>
      </c>
      <c r="AC48" s="13">
        <f>IFERROR(VLOOKUP($N48,【管理用】BR_260204!$B$3:$D$20,3,FALSE)*Q48,"-")</f>
        <v>880</v>
      </c>
      <c r="AD48" s="13">
        <f>IFERROR(VLOOKUP($N48,【管理用】BR_260204!$B$3:$D$20,3,FALSE)*R48,"-")</f>
        <v>880</v>
      </c>
      <c r="AE48" s="13">
        <f>IFERROR(VLOOKUP($N48,【管理用】BR_260204!$B$3:$D$20,3,FALSE)*S48,"-")</f>
        <v>880</v>
      </c>
      <c r="AF48" s="13">
        <f>IFERROR(VLOOKUP($N48,【管理用】BR_260204!$B$3:$D$20,3,FALSE)*T48,"-")</f>
        <v>880</v>
      </c>
      <c r="AG48" s="13">
        <f>IFERROR(VLOOKUP($N48,【管理用】BR_260204!$B$3:$D$20,3,FALSE)*U48,"-")</f>
        <v>0</v>
      </c>
      <c r="AH48" s="13">
        <f>IFERROR(VLOOKUP($N48,【管理用】BR_260204!$B$3:$D$20,3,FALSE)*V48,"-")</f>
        <v>0</v>
      </c>
      <c r="AI48" s="13">
        <f>IFERROR(VLOOKUP($N48,【管理用】BR_260204!$B$3:$D$20,3,FALSE)*W48,"-")</f>
        <v>0</v>
      </c>
      <c r="AJ48" s="13">
        <f>IFERROR(VLOOKUP($N48,【管理用】BR_260204!$B$3:$D$20,3,FALSE)*X48,"-")</f>
        <v>0</v>
      </c>
      <c r="AK48" s="13">
        <f>IFERROR(VLOOKUP($N48,【管理用】BR_260204!$B$3:$D$20,3,FALSE)*Y48,"-")</f>
        <v>0</v>
      </c>
      <c r="AL48" s="13">
        <f>IFERROR(VLOOKUP($N48,【管理用】BR_260204!$B$3:$D$20,3,FALSE)*Z48,"-")</f>
        <v>0</v>
      </c>
      <c r="AM48" s="13">
        <f t="shared" si="4"/>
        <v>5280</v>
      </c>
      <c r="AN48" s="37" t="s">
        <v>355</v>
      </c>
      <c r="AP48" s="91"/>
    </row>
    <row r="49" spans="2:42">
      <c r="B49" s="45">
        <f t="shared" si="8"/>
        <v>45</v>
      </c>
      <c r="C49" s="43">
        <v>21</v>
      </c>
      <c r="D49" s="12" t="str">
        <f>IFERROR(VLOOKUP($C49,'【入力用②】案件ごと売上（D案件以上）'!$B$4:$Y$1048576,2,FALSE),"-")</f>
        <v>ローソンエンタテインメント</v>
      </c>
      <c r="E49" s="12" t="str">
        <f>IFERROR(VLOOKUP($C49,'【入力用②】案件ごと売上（D案件以上）'!$B$4:$Y$1048576,3,FALSE),"-")</f>
        <v>人事制度・育成概要設計</v>
      </c>
      <c r="F49" s="12" t="str">
        <f>IFERROR(VLOOKUP($C49,'【入力用②】案件ごと売上（D案件以上）'!$B$4:$Y$1048576,4,FALSE),"-")</f>
        <v>21_ローソンエンタテインメント_人事制度・育成概要設計</v>
      </c>
      <c r="G49" s="12" t="str">
        <f>IFERROR(VLOOKUP($C49,'【入力用②】案件ごと売上（D案件以上）'!$B$4:$Y$1048576,5,FALSE),"-")</f>
        <v>その他</v>
      </c>
      <c r="H49" s="12" t="str">
        <f>IFERROR(VLOOKUP($C49,'【入力用②】案件ごと売上（D案件以上）'!$B$4:$Y$1048576,6,FALSE),"-")</f>
        <v>成立</v>
      </c>
      <c r="I49" s="13">
        <f>IFERROR(VLOOKUP($C49,'【入力用②】案件ごと売上（D案件以上）'!$B$4:$Y$1048576,8,FALSE),"-")</f>
        <v>12300</v>
      </c>
      <c r="J49" s="13">
        <f t="shared" si="7"/>
        <v>12332.4</v>
      </c>
      <c r="K49" s="57">
        <f t="shared" si="3"/>
        <v>-32.399999999999636</v>
      </c>
      <c r="L49" s="13">
        <f>IFERROR(VLOOKUP($C49,'【入力用②】案件ごと売上（D案件以上）'!$B$4:$Y$1048576,11,FALSE),"-")</f>
        <v>6</v>
      </c>
      <c r="M49" s="13">
        <f t="shared" si="2"/>
        <v>2050</v>
      </c>
      <c r="N49" s="43" t="s">
        <v>485</v>
      </c>
      <c r="O49" s="54">
        <v>0.3</v>
      </c>
      <c r="P49" s="54">
        <v>0.3</v>
      </c>
      <c r="Q49" s="54">
        <v>0.3</v>
      </c>
      <c r="R49" s="54">
        <v>0.3</v>
      </c>
      <c r="S49" s="54">
        <v>0.3</v>
      </c>
      <c r="T49" s="54">
        <v>0.3</v>
      </c>
      <c r="U49" s="54"/>
      <c r="V49" s="54"/>
      <c r="W49" s="54"/>
      <c r="X49" s="54"/>
      <c r="Y49" s="54"/>
      <c r="Z49" s="54"/>
      <c r="AA49" s="13">
        <f>IFERROR(VLOOKUP($N49,【管理用】BR_260204!$B$3:$D$20,3,FALSE)*O49,"-")</f>
        <v>621</v>
      </c>
      <c r="AB49" s="13">
        <f>IFERROR(VLOOKUP($N49,【管理用】BR_260204!$B$3:$D$20,3,FALSE)*P49,"-")</f>
        <v>621</v>
      </c>
      <c r="AC49" s="13">
        <f>IFERROR(VLOOKUP($N49,【管理用】BR_260204!$B$3:$D$20,3,FALSE)*Q49,"-")</f>
        <v>621</v>
      </c>
      <c r="AD49" s="13">
        <f>IFERROR(VLOOKUP($N49,【管理用】BR_260204!$B$3:$D$20,3,FALSE)*R49,"-")</f>
        <v>621</v>
      </c>
      <c r="AE49" s="13">
        <f>IFERROR(VLOOKUP($N49,【管理用】BR_260204!$B$3:$D$20,3,FALSE)*S49,"-")</f>
        <v>621</v>
      </c>
      <c r="AF49" s="13">
        <f>IFERROR(VLOOKUP($N49,【管理用】BR_260204!$B$3:$D$20,3,FALSE)*T49,"-")</f>
        <v>621</v>
      </c>
      <c r="AG49" s="13">
        <f>IFERROR(VLOOKUP($N49,【管理用】BR_260204!$B$3:$D$20,3,FALSE)*U49,"-")</f>
        <v>0</v>
      </c>
      <c r="AH49" s="13">
        <f>IFERROR(VLOOKUP($N49,【管理用】BR_260204!$B$3:$D$20,3,FALSE)*V49,"-")</f>
        <v>0</v>
      </c>
      <c r="AI49" s="13">
        <f>IFERROR(VLOOKUP($N49,【管理用】BR_260204!$B$3:$D$20,3,FALSE)*W49,"-")</f>
        <v>0</v>
      </c>
      <c r="AJ49" s="13">
        <f>IFERROR(VLOOKUP($N49,【管理用】BR_260204!$B$3:$D$20,3,FALSE)*X49,"-")</f>
        <v>0</v>
      </c>
      <c r="AK49" s="13">
        <f>IFERROR(VLOOKUP($N49,【管理用】BR_260204!$B$3:$D$20,3,FALSE)*Y49,"-")</f>
        <v>0</v>
      </c>
      <c r="AL49" s="13">
        <f>IFERROR(VLOOKUP($N49,【管理用】BR_260204!$B$3:$D$20,3,FALSE)*Z49,"-")</f>
        <v>0</v>
      </c>
      <c r="AM49" s="13">
        <f t="shared" si="4"/>
        <v>3726</v>
      </c>
      <c r="AN49" s="37" t="s">
        <v>355</v>
      </c>
      <c r="AP49" s="91"/>
    </row>
    <row r="50" spans="2:42">
      <c r="B50" s="45">
        <f t="shared" si="8"/>
        <v>46</v>
      </c>
      <c r="C50" s="43">
        <v>22</v>
      </c>
      <c r="D50" s="12" t="str">
        <f>IFERROR(VLOOKUP($C50,'【入力用②】案件ごと売上（D案件以上）'!$B$4:$Y$1048576,2,FALSE),"-")</f>
        <v>オーネスト</v>
      </c>
      <c r="E50" s="12" t="str">
        <f>IFERROR(VLOOKUP($C50,'【入力用②】案件ごと売上（D案件以上）'!$B$4:$Y$1048576,3,FALSE),"-")</f>
        <v>MVV浸透支援Phase3</v>
      </c>
      <c r="F50" s="12" t="str">
        <f>IFERROR(VLOOKUP($C50,'【入力用②】案件ごと売上（D案件以上）'!$B$4:$Y$1048576,4,FALSE),"-")</f>
        <v>22_オーネスト_MVV浸透支援Phase3</v>
      </c>
      <c r="G50" s="12" t="str">
        <f>IFERROR(VLOOKUP($C50,'【入力用②】案件ごと売上（D案件以上）'!$B$4:$Y$1048576,5,FALSE),"-")</f>
        <v>組織開発</v>
      </c>
      <c r="H50" s="12" t="str">
        <f>IFERROR(VLOOKUP($C50,'【入力用②】案件ごと売上（D案件以上）'!$B$4:$Y$1048576,6,FALSE),"-")</f>
        <v>成立</v>
      </c>
      <c r="I50" s="13">
        <f>IFERROR(VLOOKUP($C50,'【入力用②】案件ごと売上（D案件以上）'!$B$4:$Y$1048576,8,FALSE),"-")</f>
        <v>1300</v>
      </c>
      <c r="J50" s="13">
        <f t="shared" si="7"/>
        <v>1330.4</v>
      </c>
      <c r="K50" s="57">
        <f t="shared" si="3"/>
        <v>-30.400000000000091</v>
      </c>
      <c r="L50" s="13">
        <f>IFERROR(VLOOKUP($C50,'【入力用②】案件ごと売上（D案件以上）'!$B$4:$Y$1048576,11,FALSE),"-")</f>
        <v>1</v>
      </c>
      <c r="M50" s="13">
        <f t="shared" si="2"/>
        <v>1300</v>
      </c>
      <c r="N50" s="43" t="s">
        <v>487</v>
      </c>
      <c r="O50" s="54">
        <v>0.4</v>
      </c>
      <c r="P50" s="54"/>
      <c r="Q50" s="54"/>
      <c r="R50" s="54"/>
      <c r="S50" s="54"/>
      <c r="T50" s="54"/>
      <c r="U50" s="54"/>
      <c r="V50" s="54"/>
      <c r="W50" s="54"/>
      <c r="X50" s="54"/>
      <c r="Y50" s="54"/>
      <c r="Z50" s="54"/>
      <c r="AA50" s="13">
        <f>IFERROR(VLOOKUP($N50,【管理用】BR_260204!$B$3:$D$20,3,FALSE)*O50,"-")</f>
        <v>1084</v>
      </c>
      <c r="AB50" s="13">
        <f>IFERROR(VLOOKUP($N50,【管理用】BR_260204!$B$3:$D$20,3,FALSE)*P50,"-")</f>
        <v>0</v>
      </c>
      <c r="AC50" s="13">
        <f>IFERROR(VLOOKUP($N50,【管理用】BR_260204!$B$3:$D$20,3,FALSE)*Q50,"-")</f>
        <v>0</v>
      </c>
      <c r="AD50" s="13">
        <f>IFERROR(VLOOKUP($N50,【管理用】BR_260204!$B$3:$D$20,3,FALSE)*R50,"-")</f>
        <v>0</v>
      </c>
      <c r="AE50" s="13">
        <f>IFERROR(VLOOKUP($N50,【管理用】BR_260204!$B$3:$D$20,3,FALSE)*S50,"-")</f>
        <v>0</v>
      </c>
      <c r="AF50" s="13">
        <f>IFERROR(VLOOKUP($N50,【管理用】BR_260204!$B$3:$D$20,3,FALSE)*T50,"-")</f>
        <v>0</v>
      </c>
      <c r="AG50" s="13">
        <f>IFERROR(VLOOKUP($N50,【管理用】BR_260204!$B$3:$D$20,3,FALSE)*U50,"-")</f>
        <v>0</v>
      </c>
      <c r="AH50" s="13">
        <f>IFERROR(VLOOKUP($N50,【管理用】BR_260204!$B$3:$D$20,3,FALSE)*V50,"-")</f>
        <v>0</v>
      </c>
      <c r="AI50" s="13">
        <f>IFERROR(VLOOKUP($N50,【管理用】BR_260204!$B$3:$D$20,3,FALSE)*W50,"-")</f>
        <v>0</v>
      </c>
      <c r="AJ50" s="13">
        <f>IFERROR(VLOOKUP($N50,【管理用】BR_260204!$B$3:$D$20,3,FALSE)*X50,"-")</f>
        <v>0</v>
      </c>
      <c r="AK50" s="13">
        <f>IFERROR(VLOOKUP($N50,【管理用】BR_260204!$B$3:$D$20,3,FALSE)*Y50,"-")</f>
        <v>0</v>
      </c>
      <c r="AL50" s="13">
        <f>IFERROR(VLOOKUP($N50,【管理用】BR_260204!$B$3:$D$20,3,FALSE)*Z50,"-")</f>
        <v>0</v>
      </c>
      <c r="AM50" s="13">
        <f t="shared" si="4"/>
        <v>1084</v>
      </c>
      <c r="AN50" s="37" t="s">
        <v>355</v>
      </c>
      <c r="AP50" s="91"/>
    </row>
    <row r="51" spans="2:42">
      <c r="B51" s="45">
        <f t="shared" ref="B51" si="9">ROW(A51)-4</f>
        <v>47</v>
      </c>
      <c r="C51" s="43">
        <v>22</v>
      </c>
      <c r="D51" s="12" t="str">
        <f>IFERROR(VLOOKUP($C51,'【入力用②】案件ごと売上（D案件以上）'!$B$4:$Y$1048576,2,FALSE),"-")</f>
        <v>オーネスト</v>
      </c>
      <c r="E51" s="12" t="str">
        <f>IFERROR(VLOOKUP($C51,'【入力用②】案件ごと売上（D案件以上）'!$B$4:$Y$1048576,3,FALSE),"-")</f>
        <v>MVV浸透支援Phase3</v>
      </c>
      <c r="F51" s="12" t="str">
        <f>IFERROR(VLOOKUP($C51,'【入力用②】案件ごと売上（D案件以上）'!$B$4:$Y$1048576,4,FALSE),"-")</f>
        <v>22_オーネスト_MVV浸透支援Phase3</v>
      </c>
      <c r="G51" s="12" t="str">
        <f>IFERROR(VLOOKUP($C51,'【入力用②】案件ごと売上（D案件以上）'!$B$4:$Y$1048576,5,FALSE),"-")</f>
        <v>組織開発</v>
      </c>
      <c r="H51" s="12" t="str">
        <f>IFERROR(VLOOKUP($C51,'【入力用②】案件ごと売上（D案件以上）'!$B$4:$Y$1048576,6,FALSE),"-")</f>
        <v>成立</v>
      </c>
      <c r="I51" s="13">
        <f>IFERROR(VLOOKUP($C51,'【入力用②】案件ごと売上（D案件以上）'!$B$4:$Y$1048576,8,FALSE),"-")</f>
        <v>1300</v>
      </c>
      <c r="J51" s="13">
        <f t="shared" si="7"/>
        <v>1330.4</v>
      </c>
      <c r="K51" s="57">
        <f t="shared" ref="K51" si="10">IFERROR(I51-J51,"-")</f>
        <v>-30.400000000000091</v>
      </c>
      <c r="L51" s="13">
        <f>IFERROR(VLOOKUP($C51,'【入力用②】案件ごと売上（D案件以上）'!$B$4:$Y$1048576,11,FALSE),"-")</f>
        <v>1</v>
      </c>
      <c r="M51" s="13">
        <f t="shared" ref="M51" si="11">IFERROR(I51/L51,"-")</f>
        <v>1300</v>
      </c>
      <c r="N51" s="43" t="s">
        <v>125</v>
      </c>
      <c r="O51" s="54">
        <v>0.04</v>
      </c>
      <c r="P51" s="54"/>
      <c r="Q51" s="54"/>
      <c r="R51" s="54"/>
      <c r="S51" s="54"/>
      <c r="T51" s="54"/>
      <c r="U51" s="54"/>
      <c r="V51" s="54"/>
      <c r="W51" s="54"/>
      <c r="X51" s="54"/>
      <c r="Y51" s="54"/>
      <c r="Z51" s="54"/>
      <c r="AA51" s="13">
        <f>IFERROR(VLOOKUP($N51,【管理用】BR_260204!$B$3:$D$20,3,FALSE)*O51,"-")</f>
        <v>246.4</v>
      </c>
      <c r="AB51" s="13">
        <f>IFERROR(VLOOKUP($N51,【管理用】BR_260204!$B$3:$D$20,3,FALSE)*P51,"-")</f>
        <v>0</v>
      </c>
      <c r="AC51" s="13">
        <f>IFERROR(VLOOKUP($N51,【管理用】BR_260204!$B$3:$D$20,3,FALSE)*Q51,"-")</f>
        <v>0</v>
      </c>
      <c r="AD51" s="13">
        <f>IFERROR(VLOOKUP($N51,【管理用】BR_260204!$B$3:$D$20,3,FALSE)*R51,"-")</f>
        <v>0</v>
      </c>
      <c r="AE51" s="13">
        <f>IFERROR(VLOOKUP($N51,【管理用】BR_260204!$B$3:$D$20,3,FALSE)*S51,"-")</f>
        <v>0</v>
      </c>
      <c r="AF51" s="13">
        <f>IFERROR(VLOOKUP($N51,【管理用】BR_260204!$B$3:$D$20,3,FALSE)*T51,"-")</f>
        <v>0</v>
      </c>
      <c r="AG51" s="13">
        <f>IFERROR(VLOOKUP($N51,【管理用】BR_260204!$B$3:$D$20,3,FALSE)*U51,"-")</f>
        <v>0</v>
      </c>
      <c r="AH51" s="13">
        <f>IFERROR(VLOOKUP($N51,【管理用】BR_260204!$B$3:$D$20,3,FALSE)*V51,"-")</f>
        <v>0</v>
      </c>
      <c r="AI51" s="13">
        <f>IFERROR(VLOOKUP($N51,【管理用】BR_260204!$B$3:$D$20,3,FALSE)*W51,"-")</f>
        <v>0</v>
      </c>
      <c r="AJ51" s="13">
        <f>IFERROR(VLOOKUP($N51,【管理用】BR_260204!$B$3:$D$20,3,FALSE)*X51,"-")</f>
        <v>0</v>
      </c>
      <c r="AK51" s="13">
        <f>IFERROR(VLOOKUP($N51,【管理用】BR_260204!$B$3:$D$20,3,FALSE)*Y51,"-")</f>
        <v>0</v>
      </c>
      <c r="AL51" s="13">
        <f>IFERROR(VLOOKUP($N51,【管理用】BR_260204!$B$3:$D$20,3,FALSE)*Z51,"-")</f>
        <v>0</v>
      </c>
      <c r="AM51" s="13">
        <f t="shared" ref="AM51" si="12">SUM(AA51:AL51)</f>
        <v>246.4</v>
      </c>
      <c r="AN51" s="37" t="s">
        <v>355</v>
      </c>
      <c r="AP51" s="91"/>
    </row>
    <row r="52" spans="2:42">
      <c r="B52" s="45">
        <f t="shared" si="8"/>
        <v>48</v>
      </c>
      <c r="C52" s="43">
        <v>23</v>
      </c>
      <c r="D52" s="12" t="str">
        <f>IFERROR(VLOOKUP($C52,'【入力用②】案件ごと売上（D案件以上）'!$B$4:$Y$1048576,2,FALSE),"-")</f>
        <v>BeeX</v>
      </c>
      <c r="E52" s="12" t="str">
        <f>IFERROR(VLOOKUP($C52,'【入力用②】案件ごと売上（D案件以上）'!$B$4:$Y$1048576,3,FALSE),"-")</f>
        <v>Aプロジェクト</v>
      </c>
      <c r="F52" s="12" t="str">
        <f>IFERROR(VLOOKUP($C52,'【入力用②】案件ごと売上（D案件以上）'!$B$4:$Y$1048576,4,FALSE),"-")</f>
        <v>23_BeeX_Aプロジェクト</v>
      </c>
      <c r="G52" s="12" t="str">
        <f>IFERROR(VLOOKUP($C52,'【入力用②】案件ごと売上（D案件以上）'!$B$4:$Y$1048576,5,FALSE),"-")</f>
        <v>人材育成</v>
      </c>
      <c r="H52" s="12" t="str">
        <f>IFERROR(VLOOKUP($C52,'【入力用②】案件ごと売上（D案件以上）'!$B$4:$Y$1048576,6,FALSE),"-")</f>
        <v>失注</v>
      </c>
      <c r="I52" s="13">
        <f>IFERROR(VLOOKUP($C52,'【入力用②】案件ごと売上（D案件以上）'!$B$4:$Y$1048576,8,FALSE),"-")</f>
        <v>4500</v>
      </c>
      <c r="J52" s="13">
        <f t="shared" si="7"/>
        <v>12240</v>
      </c>
      <c r="K52" s="57">
        <f t="shared" si="3"/>
        <v>-7740</v>
      </c>
      <c r="L52" s="13">
        <f>IFERROR(VLOOKUP($C52,'【入力用②】案件ごと売上（D案件以上）'!$B$4:$Y$1048576,11,FALSE),"-")</f>
        <v>3</v>
      </c>
      <c r="M52" s="13">
        <f t="shared" si="2"/>
        <v>1500</v>
      </c>
      <c r="N52" s="43" t="s">
        <v>490</v>
      </c>
      <c r="O52" s="54">
        <v>0.8</v>
      </c>
      <c r="P52" s="54">
        <v>0.8</v>
      </c>
      <c r="Q52" s="54">
        <v>0.8</v>
      </c>
      <c r="R52" s="54">
        <v>0.8</v>
      </c>
      <c r="S52" s="54">
        <v>0.8</v>
      </c>
      <c r="T52" s="54">
        <v>0.8</v>
      </c>
      <c r="U52" s="54"/>
      <c r="V52" s="54"/>
      <c r="W52" s="54"/>
      <c r="X52" s="54"/>
      <c r="Y52" s="54"/>
      <c r="Z52" s="54"/>
      <c r="AA52" s="13">
        <f>IFERROR(VLOOKUP($N52,【管理用】BR_260204!$B$3:$D$20,3,FALSE)*O52,"-")</f>
        <v>2040</v>
      </c>
      <c r="AB52" s="13">
        <f>IFERROR(VLOOKUP($N52,【管理用】BR_260204!$B$3:$D$20,3,FALSE)*P52,"-")</f>
        <v>2040</v>
      </c>
      <c r="AC52" s="13">
        <f>IFERROR(VLOOKUP($N52,【管理用】BR_260204!$B$3:$D$20,3,FALSE)*Q52,"-")</f>
        <v>2040</v>
      </c>
      <c r="AD52" s="13">
        <f>IFERROR(VLOOKUP($N52,【管理用】BR_260204!$B$3:$D$20,3,FALSE)*R52,"-")</f>
        <v>2040</v>
      </c>
      <c r="AE52" s="13">
        <f>IFERROR(VLOOKUP($N52,【管理用】BR_260204!$B$3:$D$20,3,FALSE)*S52,"-")</f>
        <v>2040</v>
      </c>
      <c r="AF52" s="13">
        <f>IFERROR(VLOOKUP($N52,【管理用】BR_260204!$B$3:$D$20,3,FALSE)*T52,"-")</f>
        <v>2040</v>
      </c>
      <c r="AG52" s="13">
        <f>IFERROR(VLOOKUP($N52,【管理用】BR_260204!$B$3:$D$20,3,FALSE)*U52,"-")</f>
        <v>0</v>
      </c>
      <c r="AH52" s="13">
        <f>IFERROR(VLOOKUP($N52,【管理用】BR_260204!$B$3:$D$20,3,FALSE)*V52,"-")</f>
        <v>0</v>
      </c>
      <c r="AI52" s="13">
        <f>IFERROR(VLOOKUP($N52,【管理用】BR_260204!$B$3:$D$20,3,FALSE)*W52,"-")</f>
        <v>0</v>
      </c>
      <c r="AJ52" s="13">
        <f>IFERROR(VLOOKUP($N52,【管理用】BR_260204!$B$3:$D$20,3,FALSE)*X52,"-")</f>
        <v>0</v>
      </c>
      <c r="AK52" s="13">
        <f>IFERROR(VLOOKUP($N52,【管理用】BR_260204!$B$3:$D$20,3,FALSE)*Y52,"-")</f>
        <v>0</v>
      </c>
      <c r="AL52" s="13">
        <f>IFERROR(VLOOKUP($N52,【管理用】BR_260204!$B$3:$D$20,3,FALSE)*Z52,"-")</f>
        <v>0</v>
      </c>
      <c r="AM52" s="13">
        <f t="shared" si="4"/>
        <v>12240</v>
      </c>
      <c r="AN52" s="37" t="s">
        <v>355</v>
      </c>
      <c r="AP52" s="91"/>
    </row>
    <row r="53" spans="2:42">
      <c r="B53" s="45">
        <f t="shared" si="8"/>
        <v>49</v>
      </c>
      <c r="C53" s="43">
        <v>24</v>
      </c>
      <c r="D53" s="12" t="str">
        <f>IFERROR(VLOOKUP($C53,'【入力用②】案件ごと売上（D案件以上）'!$B$4:$Y$1048576,2,FALSE),"-")</f>
        <v>ひらまつ</v>
      </c>
      <c r="E53" s="12" t="str">
        <f>IFERROR(VLOOKUP($C53,'【入力用②】案件ごと売上（D案件以上）'!$B$4:$Y$1048576,3,FALSE),"-")</f>
        <v>育成体系設計</v>
      </c>
      <c r="F53" s="12" t="str">
        <f>IFERROR(VLOOKUP($C53,'【入力用②】案件ごと売上（D案件以上）'!$B$4:$Y$1048576,4,FALSE),"-")</f>
        <v>24_ひらまつ_育成体系設計</v>
      </c>
      <c r="G53" s="12" t="str">
        <f>IFERROR(VLOOKUP($C53,'【入力用②】案件ごと売上（D案件以上）'!$B$4:$Y$1048576,5,FALSE),"-")</f>
        <v>人材育成</v>
      </c>
      <c r="H53" s="12" t="str">
        <f>IFERROR(VLOOKUP($C53,'【入力用②】案件ごと売上（D案件以上）'!$B$4:$Y$1048576,6,FALSE),"-")</f>
        <v>A</v>
      </c>
      <c r="I53" s="13">
        <f>IFERROR(VLOOKUP($C53,'【入力用②】案件ごと売上（D案件以上）'!$B$4:$Y$1048576,8,FALSE),"-")</f>
        <v>3600</v>
      </c>
      <c r="J53" s="13">
        <f t="shared" si="7"/>
        <v>3552.8</v>
      </c>
      <c r="K53" s="57">
        <f t="shared" si="3"/>
        <v>47.199999999999818</v>
      </c>
      <c r="L53" s="13">
        <f>IFERROR(VLOOKUP($C53,'【入力用②】案件ごと売上（D案件以上）'!$B$4:$Y$1048576,11,FALSE),"-")</f>
        <v>3</v>
      </c>
      <c r="M53" s="13">
        <f t="shared" si="2"/>
        <v>1200</v>
      </c>
      <c r="N53" s="43" t="s">
        <v>490</v>
      </c>
      <c r="O53" s="54"/>
      <c r="P53" s="54"/>
      <c r="Q53" s="54"/>
      <c r="R53" s="54"/>
      <c r="S53" s="54">
        <v>0.4</v>
      </c>
      <c r="T53" s="54">
        <v>0.4</v>
      </c>
      <c r="U53" s="54">
        <v>0.4</v>
      </c>
      <c r="V53" s="54"/>
      <c r="W53" s="54"/>
      <c r="X53" s="54"/>
      <c r="Y53" s="54"/>
      <c r="Z53" s="54"/>
      <c r="AA53" s="13">
        <f>IFERROR(VLOOKUP($N53,【管理用】BR_260204!$B$3:$D$20,3,FALSE)*O53,"-")</f>
        <v>0</v>
      </c>
      <c r="AB53" s="13">
        <f>IFERROR(VLOOKUP($N53,【管理用】BR_260204!$B$3:$D$20,3,FALSE)*P53,"-")</f>
        <v>0</v>
      </c>
      <c r="AC53" s="13">
        <f>IFERROR(VLOOKUP($N53,【管理用】BR_260204!$B$3:$D$20,3,FALSE)*Q53,"-")</f>
        <v>0</v>
      </c>
      <c r="AD53" s="13">
        <f>IFERROR(VLOOKUP($N53,【管理用】BR_260204!$B$3:$D$20,3,FALSE)*R53,"-")</f>
        <v>0</v>
      </c>
      <c r="AE53" s="13">
        <f>IFERROR(VLOOKUP($N53,【管理用】BR_260204!$B$3:$D$20,3,FALSE)*S53,"-")</f>
        <v>1020</v>
      </c>
      <c r="AF53" s="13">
        <f>IFERROR(VLOOKUP($N53,【管理用】BR_260204!$B$3:$D$20,3,FALSE)*T53,"-")</f>
        <v>1020</v>
      </c>
      <c r="AG53" s="13">
        <f>IFERROR(VLOOKUP($N53,【管理用】BR_260204!$B$3:$D$20,3,FALSE)*U53,"-")</f>
        <v>1020</v>
      </c>
      <c r="AH53" s="13">
        <f>IFERROR(VLOOKUP($N53,【管理用】BR_260204!$B$3:$D$20,3,FALSE)*V53,"-")</f>
        <v>0</v>
      </c>
      <c r="AI53" s="13">
        <f>IFERROR(VLOOKUP($N53,【管理用】BR_260204!$B$3:$D$20,3,FALSE)*W53,"-")</f>
        <v>0</v>
      </c>
      <c r="AJ53" s="13">
        <f>IFERROR(VLOOKUP($N53,【管理用】BR_260204!$B$3:$D$20,3,FALSE)*X53,"-")</f>
        <v>0</v>
      </c>
      <c r="AK53" s="13">
        <f>IFERROR(VLOOKUP($N53,【管理用】BR_260204!$B$3:$D$20,3,FALSE)*Y53,"-")</f>
        <v>0</v>
      </c>
      <c r="AL53" s="13">
        <f>IFERROR(VLOOKUP($N53,【管理用】BR_260204!$B$3:$D$20,3,FALSE)*Z53,"-")</f>
        <v>0</v>
      </c>
      <c r="AM53" s="13">
        <f t="shared" si="4"/>
        <v>3060</v>
      </c>
      <c r="AN53" s="37" t="s">
        <v>355</v>
      </c>
      <c r="AP53" s="91"/>
    </row>
    <row r="54" spans="2:42">
      <c r="B54" s="45">
        <f t="shared" si="8"/>
        <v>50</v>
      </c>
      <c r="C54" s="43">
        <v>24</v>
      </c>
      <c r="D54" s="12" t="str">
        <f>IFERROR(VLOOKUP($C54,'【入力用②】案件ごと売上（D案件以上）'!$B$4:$Y$1048576,2,FALSE),"-")</f>
        <v>ひらまつ</v>
      </c>
      <c r="E54" s="12" t="str">
        <f>IFERROR(VLOOKUP($C54,'【入力用②】案件ごと売上（D案件以上）'!$B$4:$Y$1048576,3,FALSE),"-")</f>
        <v>育成体系設計</v>
      </c>
      <c r="F54" s="12" t="str">
        <f>IFERROR(VLOOKUP($C54,'【入力用②】案件ごと売上（D案件以上）'!$B$4:$Y$1048576,4,FALSE),"-")</f>
        <v>24_ひらまつ_育成体系設計</v>
      </c>
      <c r="G54" s="12" t="str">
        <f>IFERROR(VLOOKUP($C54,'【入力用②】案件ごと売上（D案件以上）'!$B$4:$Y$1048576,5,FALSE),"-")</f>
        <v>人材育成</v>
      </c>
      <c r="H54" s="12" t="str">
        <f>IFERROR(VLOOKUP($C54,'【入力用②】案件ごと売上（D案件以上）'!$B$4:$Y$1048576,6,FALSE),"-")</f>
        <v>A</v>
      </c>
      <c r="I54" s="13">
        <f>IFERROR(VLOOKUP($C54,'【入力用②】案件ごと売上（D案件以上）'!$B$4:$Y$1048576,8,FALSE),"-")</f>
        <v>3600</v>
      </c>
      <c r="J54" s="13">
        <f t="shared" si="7"/>
        <v>3552.8</v>
      </c>
      <c r="K54" s="57">
        <f t="shared" si="3"/>
        <v>47.199999999999818</v>
      </c>
      <c r="L54" s="13">
        <f>IFERROR(VLOOKUP($C54,'【入力用②】案件ごと売上（D案件以上）'!$B$4:$Y$1048576,11,FALSE),"-")</f>
        <v>3</v>
      </c>
      <c r="M54" s="13">
        <f t="shared" si="2"/>
        <v>1200</v>
      </c>
      <c r="N54" s="43" t="s">
        <v>480</v>
      </c>
      <c r="O54" s="54"/>
      <c r="P54" s="54"/>
      <c r="Q54" s="54"/>
      <c r="R54" s="54"/>
      <c r="S54" s="54">
        <v>0.04</v>
      </c>
      <c r="T54" s="54">
        <v>0.04</v>
      </c>
      <c r="U54" s="54"/>
      <c r="V54" s="54"/>
      <c r="W54" s="54"/>
      <c r="X54" s="54"/>
      <c r="Y54" s="54"/>
      <c r="Z54" s="54"/>
      <c r="AA54" s="13">
        <f>IFERROR(VLOOKUP($N54,【管理用】BR_260204!$B$3:$D$20,3,FALSE)*O54,"-")</f>
        <v>0</v>
      </c>
      <c r="AB54" s="13">
        <f>IFERROR(VLOOKUP($N54,【管理用】BR_260204!$B$3:$D$20,3,FALSE)*P54,"-")</f>
        <v>0</v>
      </c>
      <c r="AC54" s="13">
        <f>IFERROR(VLOOKUP($N54,【管理用】BR_260204!$B$3:$D$20,3,FALSE)*Q54,"-")</f>
        <v>0</v>
      </c>
      <c r="AD54" s="13">
        <f>IFERROR(VLOOKUP($N54,【管理用】BR_260204!$B$3:$D$20,3,FALSE)*R54,"-")</f>
        <v>0</v>
      </c>
      <c r="AE54" s="13">
        <f>IFERROR(VLOOKUP($N54,【管理用】BR_260204!$B$3:$D$20,3,FALSE)*S54,"-")</f>
        <v>246.4</v>
      </c>
      <c r="AF54" s="13">
        <f>IFERROR(VLOOKUP($N54,【管理用】BR_260204!$B$3:$D$20,3,FALSE)*T54,"-")</f>
        <v>246.4</v>
      </c>
      <c r="AG54" s="13">
        <f>IFERROR(VLOOKUP($N54,【管理用】BR_260204!$B$3:$D$20,3,FALSE)*U54,"-")</f>
        <v>0</v>
      </c>
      <c r="AH54" s="13">
        <f>IFERROR(VLOOKUP($N54,【管理用】BR_260204!$B$3:$D$20,3,FALSE)*V54,"-")</f>
        <v>0</v>
      </c>
      <c r="AI54" s="13">
        <f>IFERROR(VLOOKUP($N54,【管理用】BR_260204!$B$3:$D$20,3,FALSE)*W54,"-")</f>
        <v>0</v>
      </c>
      <c r="AJ54" s="13">
        <f>IFERROR(VLOOKUP($N54,【管理用】BR_260204!$B$3:$D$20,3,FALSE)*X54,"-")</f>
        <v>0</v>
      </c>
      <c r="AK54" s="13">
        <f>IFERROR(VLOOKUP($N54,【管理用】BR_260204!$B$3:$D$20,3,FALSE)*Y54,"-")</f>
        <v>0</v>
      </c>
      <c r="AL54" s="13">
        <f>IFERROR(VLOOKUP($N54,【管理用】BR_260204!$B$3:$D$20,3,FALSE)*Z54,"-")</f>
        <v>0</v>
      </c>
      <c r="AM54" s="13">
        <f t="shared" si="4"/>
        <v>492.8</v>
      </c>
      <c r="AN54" s="37" t="s">
        <v>355</v>
      </c>
      <c r="AP54" s="91"/>
    </row>
    <row r="55" spans="2:42">
      <c r="B55" s="45">
        <f t="shared" si="8"/>
        <v>51</v>
      </c>
      <c r="C55" s="43">
        <v>25</v>
      </c>
      <c r="D55" s="12" t="str">
        <f>IFERROR(VLOOKUP($C55,'【入力用②】案件ごと売上（D案件以上）'!$B$4:$Y$1048576,2,FALSE),"-")</f>
        <v>パラマウントベッド</v>
      </c>
      <c r="E55" s="12" t="str">
        <f>IFERROR(VLOOKUP($C55,'【入力用②】案件ごと売上（D案件以上）'!$B$4:$Y$1048576,3,FALSE),"-")</f>
        <v>女性社員交流会 企画支援</v>
      </c>
      <c r="F55" s="12" t="str">
        <f>IFERROR(VLOOKUP($C55,'【入力用②】案件ごと売上（D案件以上）'!$B$4:$Y$1048576,4,FALSE),"-")</f>
        <v>25_パラマウントベッド_女性社員交流会 企画支援</v>
      </c>
      <c r="G55" s="12" t="str">
        <f>IFERROR(VLOOKUP($C55,'【入力用②】案件ごと売上（D案件以上）'!$B$4:$Y$1048576,5,FALSE),"-")</f>
        <v>その他</v>
      </c>
      <c r="H55" s="12" t="str">
        <f>IFERROR(VLOOKUP($C55,'【入力用②】案件ごと売上（D案件以上）'!$B$4:$Y$1048576,6,FALSE),"-")</f>
        <v>成立</v>
      </c>
      <c r="I55" s="13">
        <f>IFERROR(VLOOKUP($C55,'【入力用②】案件ごと売上（D案件以上）'!$B$4:$Y$1048576,8,FALSE),"-")</f>
        <v>500</v>
      </c>
      <c r="J55" s="13">
        <f t="shared" si="7"/>
        <v>499.89200000000005</v>
      </c>
      <c r="K55" s="57">
        <f t="shared" ref="K55:K69" si="13">IFERROR(I55-J55,"-")</f>
        <v>0.10799999999994725</v>
      </c>
      <c r="L55" s="13">
        <f>IFERROR(VLOOKUP($C55,'【入力用②】案件ごと売上（D案件以上）'!$B$4:$Y$1048576,11,FALSE),"-")</f>
        <v>1</v>
      </c>
      <c r="M55" s="13">
        <f t="shared" ref="M55:M69" si="14">IFERROR(I55/L55,"-")</f>
        <v>500</v>
      </c>
      <c r="N55" s="43" t="s">
        <v>482</v>
      </c>
      <c r="O55" s="54">
        <v>0.26590000000000003</v>
      </c>
      <c r="P55" s="54"/>
      <c r="Q55" s="54"/>
      <c r="R55" s="54"/>
      <c r="S55" s="54"/>
      <c r="T55" s="54"/>
      <c r="U55" s="54"/>
      <c r="V55" s="54"/>
      <c r="W55" s="54"/>
      <c r="X55" s="54"/>
      <c r="Y55" s="54"/>
      <c r="Z55" s="54"/>
      <c r="AA55" s="13">
        <f>IFERROR(VLOOKUP($N55,【管理用】BR_260204!$B$3:$D$20,3,FALSE)*O55,"-")</f>
        <v>499.89200000000005</v>
      </c>
      <c r="AB55" s="13">
        <f>IFERROR(VLOOKUP($N55,【管理用】BR_260204!$B$3:$D$20,3,FALSE)*P55,"-")</f>
        <v>0</v>
      </c>
      <c r="AC55" s="13">
        <f>IFERROR(VLOOKUP($N55,【管理用】BR_260204!$B$3:$D$20,3,FALSE)*Q55,"-")</f>
        <v>0</v>
      </c>
      <c r="AD55" s="13">
        <f>IFERROR(VLOOKUP($N55,【管理用】BR_260204!$B$3:$D$20,3,FALSE)*R55,"-")</f>
        <v>0</v>
      </c>
      <c r="AE55" s="13">
        <f>IFERROR(VLOOKUP($N55,【管理用】BR_260204!$B$3:$D$20,3,FALSE)*S55,"-")</f>
        <v>0</v>
      </c>
      <c r="AF55" s="13">
        <f>IFERROR(VLOOKUP($N55,【管理用】BR_260204!$B$3:$D$20,3,FALSE)*T55,"-")</f>
        <v>0</v>
      </c>
      <c r="AG55" s="13">
        <f>IFERROR(VLOOKUP($N55,【管理用】BR_260204!$B$3:$D$20,3,FALSE)*U55,"-")</f>
        <v>0</v>
      </c>
      <c r="AH55" s="13">
        <f>IFERROR(VLOOKUP($N55,【管理用】BR_260204!$B$3:$D$20,3,FALSE)*V55,"-")</f>
        <v>0</v>
      </c>
      <c r="AI55" s="13">
        <f>IFERROR(VLOOKUP($N55,【管理用】BR_260204!$B$3:$D$20,3,FALSE)*W55,"-")</f>
        <v>0</v>
      </c>
      <c r="AJ55" s="13">
        <f>IFERROR(VLOOKUP($N55,【管理用】BR_260204!$B$3:$D$20,3,FALSE)*X55,"-")</f>
        <v>0</v>
      </c>
      <c r="AK55" s="13">
        <f>IFERROR(VLOOKUP($N55,【管理用】BR_260204!$B$3:$D$20,3,FALSE)*Y55,"-")</f>
        <v>0</v>
      </c>
      <c r="AL55" s="13">
        <f>IFERROR(VLOOKUP($N55,【管理用】BR_260204!$B$3:$D$20,3,FALSE)*Z55,"-")</f>
        <v>0</v>
      </c>
      <c r="AM55" s="13">
        <f t="shared" si="4"/>
        <v>499.89200000000005</v>
      </c>
      <c r="AN55" s="37" t="s">
        <v>355</v>
      </c>
      <c r="AP55" s="91"/>
    </row>
    <row r="56" spans="2:42">
      <c r="B56" s="45">
        <f t="shared" si="8"/>
        <v>52</v>
      </c>
      <c r="C56" s="43">
        <v>26</v>
      </c>
      <c r="D56" s="12" t="str">
        <f>IFERROR(VLOOKUP($C56,'【入力用②】案件ごと売上（D案件以上）'!$B$4:$Y$1048576,2,FALSE),"-")</f>
        <v>西武HD</v>
      </c>
      <c r="E56" s="12" t="str">
        <f>IFERROR(VLOOKUP($C56,'【入力用②】案件ごと売上（D案件以上）'!$B$4:$Y$1048576,3,FALSE),"-")</f>
        <v>オンボーディング・OJT企画</v>
      </c>
      <c r="F56" s="12" t="str">
        <f>IFERROR(VLOOKUP($C56,'【入力用②】案件ごと売上（D案件以上）'!$B$4:$Y$1048576,4,FALSE),"-")</f>
        <v>26_西武HD_オンボーディング・OJT企画</v>
      </c>
      <c r="G56" s="12" t="str">
        <f>IFERROR(VLOOKUP($C56,'【入力用②】案件ごと売上（D案件以上）'!$B$4:$Y$1048576,5,FALSE),"-")</f>
        <v>その他</v>
      </c>
      <c r="H56" s="12" t="str">
        <f>IFERROR(VLOOKUP($C56,'【入力用②】案件ごと売上（D案件以上）'!$B$4:$Y$1048576,6,FALSE),"-")</f>
        <v>失注</v>
      </c>
      <c r="I56" s="13">
        <f>IFERROR(VLOOKUP($C56,'【入力用②】案件ごと売上（D案件以上）'!$B$4:$Y$1048576,8,FALSE),"-")</f>
        <v>2000</v>
      </c>
      <c r="J56" s="13">
        <f t="shared" si="7"/>
        <v>1987.1999999999998</v>
      </c>
      <c r="K56" s="57">
        <f t="shared" si="13"/>
        <v>12.800000000000182</v>
      </c>
      <c r="L56" s="13">
        <f>IFERROR(VLOOKUP($C56,'【入力用②】案件ごと売上（D案件以上）'!$B$4:$Y$1048576,11,FALSE),"-")</f>
        <v>3</v>
      </c>
      <c r="M56" s="13">
        <f t="shared" si="14"/>
        <v>666.66666666666663</v>
      </c>
      <c r="N56" s="43" t="s">
        <v>485</v>
      </c>
      <c r="O56" s="54"/>
      <c r="P56" s="54">
        <v>0.32</v>
      </c>
      <c r="Q56" s="54">
        <v>0.32</v>
      </c>
      <c r="R56" s="54">
        <v>0.32</v>
      </c>
      <c r="S56" s="54"/>
      <c r="T56" s="54"/>
      <c r="U56" s="54"/>
      <c r="V56" s="54"/>
      <c r="W56" s="54"/>
      <c r="X56" s="54"/>
      <c r="Y56" s="54"/>
      <c r="Z56" s="54"/>
      <c r="AA56" s="13">
        <f>IFERROR(VLOOKUP($N56,【管理用】BR_260204!$B$3:$D$20,3,FALSE)*O56,"-")</f>
        <v>0</v>
      </c>
      <c r="AB56" s="13">
        <f>IFERROR(VLOOKUP($N56,【管理用】BR_260204!$B$3:$D$20,3,FALSE)*P56,"-")</f>
        <v>662.4</v>
      </c>
      <c r="AC56" s="13">
        <f>IFERROR(VLOOKUP($N56,【管理用】BR_260204!$B$3:$D$20,3,FALSE)*Q56,"-")</f>
        <v>662.4</v>
      </c>
      <c r="AD56" s="13">
        <f>IFERROR(VLOOKUP($N56,【管理用】BR_260204!$B$3:$D$20,3,FALSE)*R56,"-")</f>
        <v>662.4</v>
      </c>
      <c r="AE56" s="13">
        <f>IFERROR(VLOOKUP($N56,【管理用】BR_260204!$B$3:$D$20,3,FALSE)*S56,"-")</f>
        <v>0</v>
      </c>
      <c r="AF56" s="13">
        <f>IFERROR(VLOOKUP($N56,【管理用】BR_260204!$B$3:$D$20,3,FALSE)*T56,"-")</f>
        <v>0</v>
      </c>
      <c r="AG56" s="13">
        <f>IFERROR(VLOOKUP($N56,【管理用】BR_260204!$B$3:$D$20,3,FALSE)*U56,"-")</f>
        <v>0</v>
      </c>
      <c r="AH56" s="13">
        <f>IFERROR(VLOOKUP($N56,【管理用】BR_260204!$B$3:$D$20,3,FALSE)*V56,"-")</f>
        <v>0</v>
      </c>
      <c r="AI56" s="13">
        <f>IFERROR(VLOOKUP($N56,【管理用】BR_260204!$B$3:$D$20,3,FALSE)*W56,"-")</f>
        <v>0</v>
      </c>
      <c r="AJ56" s="13">
        <f>IFERROR(VLOOKUP($N56,【管理用】BR_260204!$B$3:$D$20,3,FALSE)*X56,"-")</f>
        <v>0</v>
      </c>
      <c r="AK56" s="13">
        <f>IFERROR(VLOOKUP($N56,【管理用】BR_260204!$B$3:$D$20,3,FALSE)*Y56,"-")</f>
        <v>0</v>
      </c>
      <c r="AL56" s="13">
        <f>IFERROR(VLOOKUP($N56,【管理用】BR_260204!$B$3:$D$20,3,FALSE)*Z56,"-")</f>
        <v>0</v>
      </c>
      <c r="AM56" s="13">
        <f t="shared" si="4"/>
        <v>1987.1999999999998</v>
      </c>
      <c r="AN56" s="37" t="s">
        <v>355</v>
      </c>
      <c r="AP56" s="91"/>
    </row>
    <row r="57" spans="2:42">
      <c r="B57" s="45">
        <f t="shared" si="8"/>
        <v>53</v>
      </c>
      <c r="C57" s="43">
        <v>27</v>
      </c>
      <c r="D57" s="12" t="str">
        <f>IFERROR(VLOOKUP($C57,'【入力用②】案件ごと売上（D案件以上）'!$B$4:$Y$1048576,2,FALSE),"-")</f>
        <v>PHCホールディングス</v>
      </c>
      <c r="E57" s="12" t="str">
        <f>IFERROR(VLOOKUP($C57,'【入力用②】案件ごと売上（D案件以上）'!$B$4:$Y$1048576,3,FALSE),"-")</f>
        <v>オンボ・採用支援（中長期含）</v>
      </c>
      <c r="F57" s="12" t="str">
        <f>IFERROR(VLOOKUP($C57,'【入力用②】案件ごと売上（D案件以上）'!$B$4:$Y$1048576,4,FALSE),"-")</f>
        <v>27_PHCホールディングス_オンボ・採用支援（中長期含）</v>
      </c>
      <c r="G57" s="12" t="str">
        <f>IFERROR(VLOOKUP($C57,'【入力用②】案件ごと売上（D案件以上）'!$B$4:$Y$1048576,5,FALSE),"-")</f>
        <v>その他</v>
      </c>
      <c r="H57" s="12" t="str">
        <f>IFERROR(VLOOKUP($C57,'【入力用②】案件ごと売上（D案件以上）'!$B$4:$Y$1048576,6,FALSE),"-")</f>
        <v>C</v>
      </c>
      <c r="I57" s="13">
        <f>IFERROR(VLOOKUP($C57,'【入力用②】案件ごと売上（D案件以上）'!$B$4:$Y$1048576,8,FALSE),"-")</f>
        <v>6000</v>
      </c>
      <c r="J57" s="13">
        <f t="shared" si="7"/>
        <v>6023.7</v>
      </c>
      <c r="K57" s="57">
        <f t="shared" si="13"/>
        <v>-23.699999999999818</v>
      </c>
      <c r="L57" s="13">
        <f>IFERROR(VLOOKUP($C57,'【入力用②】案件ごと売上（D案件以上）'!$B$4:$Y$1048576,11,FALSE),"-")</f>
        <v>3</v>
      </c>
      <c r="M57" s="13">
        <f t="shared" si="14"/>
        <v>2000</v>
      </c>
      <c r="N57" s="43" t="s">
        <v>485</v>
      </c>
      <c r="O57" s="54"/>
      <c r="P57" s="54">
        <v>0.97</v>
      </c>
      <c r="Q57" s="54">
        <v>0.97</v>
      </c>
      <c r="R57" s="54">
        <v>0.97</v>
      </c>
      <c r="S57" s="54"/>
      <c r="T57" s="54"/>
      <c r="U57" s="54"/>
      <c r="V57" s="54"/>
      <c r="W57" s="54"/>
      <c r="X57" s="54"/>
      <c r="Y57" s="54"/>
      <c r="Z57" s="54"/>
      <c r="AA57" s="13">
        <f>IFERROR(VLOOKUP($N57,【管理用】BR_260204!$B$3:$D$20,3,FALSE)*O57,"-")</f>
        <v>0</v>
      </c>
      <c r="AB57" s="13">
        <f>IFERROR(VLOOKUP($N57,【管理用】BR_260204!$B$3:$D$20,3,FALSE)*P57,"-")</f>
        <v>2007.8999999999999</v>
      </c>
      <c r="AC57" s="13">
        <f>IFERROR(VLOOKUP($N57,【管理用】BR_260204!$B$3:$D$20,3,FALSE)*Q57,"-")</f>
        <v>2007.8999999999999</v>
      </c>
      <c r="AD57" s="13">
        <f>IFERROR(VLOOKUP($N57,【管理用】BR_260204!$B$3:$D$20,3,FALSE)*R57,"-")</f>
        <v>2007.8999999999999</v>
      </c>
      <c r="AE57" s="13">
        <f>IFERROR(VLOOKUP($N57,【管理用】BR_260204!$B$3:$D$20,3,FALSE)*S57,"-")</f>
        <v>0</v>
      </c>
      <c r="AF57" s="13">
        <f>IFERROR(VLOOKUP($N57,【管理用】BR_260204!$B$3:$D$20,3,FALSE)*T57,"-")</f>
        <v>0</v>
      </c>
      <c r="AG57" s="13">
        <f>IFERROR(VLOOKUP($N57,【管理用】BR_260204!$B$3:$D$20,3,FALSE)*U57,"-")</f>
        <v>0</v>
      </c>
      <c r="AH57" s="13">
        <f>IFERROR(VLOOKUP($N57,【管理用】BR_260204!$B$3:$D$20,3,FALSE)*V57,"-")</f>
        <v>0</v>
      </c>
      <c r="AI57" s="13">
        <f>IFERROR(VLOOKUP($N57,【管理用】BR_260204!$B$3:$D$20,3,FALSE)*W57,"-")</f>
        <v>0</v>
      </c>
      <c r="AJ57" s="13">
        <f>IFERROR(VLOOKUP($N57,【管理用】BR_260204!$B$3:$D$20,3,FALSE)*X57,"-")</f>
        <v>0</v>
      </c>
      <c r="AK57" s="13">
        <f>IFERROR(VLOOKUP($N57,【管理用】BR_260204!$B$3:$D$20,3,FALSE)*Y57,"-")</f>
        <v>0</v>
      </c>
      <c r="AL57" s="13">
        <f>IFERROR(VLOOKUP($N57,【管理用】BR_260204!$B$3:$D$20,3,FALSE)*Z57,"-")</f>
        <v>0</v>
      </c>
      <c r="AM57" s="13">
        <f t="shared" si="4"/>
        <v>6023.7</v>
      </c>
      <c r="AN57" s="37" t="s">
        <v>355</v>
      </c>
      <c r="AP57" s="91"/>
    </row>
    <row r="58" spans="2:42">
      <c r="B58" s="45">
        <f t="shared" si="8"/>
        <v>54</v>
      </c>
      <c r="C58" s="43">
        <v>28</v>
      </c>
      <c r="D58" s="12" t="str">
        <f>IFERROR(VLOOKUP($C58,'【入力用②】案件ごと売上（D案件以上）'!$B$4:$Y$1048576,2,FALSE),"-")</f>
        <v>安田工業</v>
      </c>
      <c r="E58" s="12" t="str">
        <f>IFERROR(VLOOKUP($C58,'【入力用②】案件ごと売上（D案件以上）'!$B$4:$Y$1048576,3,FALSE),"-")</f>
        <v>人事戦略検討</v>
      </c>
      <c r="F58" s="12" t="str">
        <f>IFERROR(VLOOKUP($C58,'【入力用②】案件ごと売上（D案件以上）'!$B$4:$Y$1048576,4,FALSE),"-")</f>
        <v>28_安田工業_人事戦略検討</v>
      </c>
      <c r="G58" s="12" t="str">
        <f>IFERROR(VLOOKUP($C58,'【入力用②】案件ごと売上（D案件以上）'!$B$4:$Y$1048576,5,FALSE),"-")</f>
        <v>その他</v>
      </c>
      <c r="H58" s="12" t="str">
        <f>IFERROR(VLOOKUP($C58,'【入力用②】案件ごと売上（D案件以上）'!$B$4:$Y$1048576,6,FALSE),"-")</f>
        <v>D</v>
      </c>
      <c r="I58" s="13">
        <f>IFERROR(VLOOKUP($C58,'【入力用②】案件ごと売上（D案件以上）'!$B$4:$Y$1048576,8,FALSE),"-")</f>
        <v>12000</v>
      </c>
      <c r="J58" s="13">
        <f t="shared" si="7"/>
        <v>3696</v>
      </c>
      <c r="K58" s="57">
        <f t="shared" si="13"/>
        <v>8304</v>
      </c>
      <c r="L58" s="13">
        <f>IFERROR(VLOOKUP($C58,'【入力用②】案件ごと売上（D案件以上）'!$B$4:$Y$1048576,11,FALSE),"-")</f>
        <v>6</v>
      </c>
      <c r="M58" s="13">
        <f t="shared" si="14"/>
        <v>2000</v>
      </c>
      <c r="N58" s="43" t="s">
        <v>396</v>
      </c>
      <c r="O58" s="54"/>
      <c r="P58" s="54">
        <v>0.1</v>
      </c>
      <c r="Q58" s="54">
        <v>0.1</v>
      </c>
      <c r="R58" s="54">
        <v>0.1</v>
      </c>
      <c r="S58" s="54">
        <v>0.1</v>
      </c>
      <c r="T58" s="54">
        <v>0.1</v>
      </c>
      <c r="U58" s="54">
        <v>0.1</v>
      </c>
      <c r="V58" s="54"/>
      <c r="W58" s="54"/>
      <c r="X58" s="54"/>
      <c r="Y58" s="54"/>
      <c r="Z58" s="54"/>
      <c r="AA58" s="13">
        <f>IFERROR(VLOOKUP($N58,【管理用】BR_260204!$B$3:$D$20,3,FALSE)*O58,"-")</f>
        <v>0</v>
      </c>
      <c r="AB58" s="13">
        <f>IFERROR(VLOOKUP($N58,【管理用】BR_260204!$B$3:$D$20,3,FALSE)*P58,"-")</f>
        <v>616</v>
      </c>
      <c r="AC58" s="13">
        <f>IFERROR(VLOOKUP($N58,【管理用】BR_260204!$B$3:$D$20,3,FALSE)*Q58,"-")</f>
        <v>616</v>
      </c>
      <c r="AD58" s="13">
        <f>IFERROR(VLOOKUP($N58,【管理用】BR_260204!$B$3:$D$20,3,FALSE)*R58,"-")</f>
        <v>616</v>
      </c>
      <c r="AE58" s="13">
        <f>IFERROR(VLOOKUP($N58,【管理用】BR_260204!$B$3:$D$20,3,FALSE)*S58,"-")</f>
        <v>616</v>
      </c>
      <c r="AF58" s="13">
        <f>IFERROR(VLOOKUP($N58,【管理用】BR_260204!$B$3:$D$20,3,FALSE)*T58,"-")</f>
        <v>616</v>
      </c>
      <c r="AG58" s="13">
        <f>IFERROR(VLOOKUP($N58,【管理用】BR_260204!$B$3:$D$20,3,FALSE)*U58,"-")</f>
        <v>616</v>
      </c>
      <c r="AH58" s="13">
        <f>IFERROR(VLOOKUP($N58,【管理用】BR_260204!$B$3:$D$20,3,FALSE)*V58,"-")</f>
        <v>0</v>
      </c>
      <c r="AI58" s="13">
        <f>IFERROR(VLOOKUP($N58,【管理用】BR_260204!$B$3:$D$20,3,FALSE)*W58,"-")</f>
        <v>0</v>
      </c>
      <c r="AJ58" s="13">
        <f>IFERROR(VLOOKUP($N58,【管理用】BR_260204!$B$3:$D$20,3,FALSE)*X58,"-")</f>
        <v>0</v>
      </c>
      <c r="AK58" s="13">
        <f>IFERROR(VLOOKUP($N58,【管理用】BR_260204!$B$3:$D$20,3,FALSE)*Y58,"-")</f>
        <v>0</v>
      </c>
      <c r="AL58" s="13">
        <f>IFERROR(VLOOKUP($N58,【管理用】BR_260204!$B$3:$D$20,3,FALSE)*Z58,"-")</f>
        <v>0</v>
      </c>
      <c r="AM58" s="13">
        <f t="shared" si="4"/>
        <v>3696</v>
      </c>
      <c r="AN58" s="37" t="s">
        <v>355</v>
      </c>
      <c r="AP58" s="91"/>
    </row>
    <row r="59" spans="2:42">
      <c r="B59" s="45">
        <f t="shared" si="8"/>
        <v>55</v>
      </c>
      <c r="C59" s="43"/>
      <c r="D59" s="12" t="str">
        <f>IFERROR(VLOOKUP($C59,'【入力用②】案件ごと売上（D案件以上）'!$B$4:$Y$1048576,2,FALSE),"-")</f>
        <v>-</v>
      </c>
      <c r="E59" s="12" t="str">
        <f>IFERROR(VLOOKUP($C59,'【入力用②】案件ごと売上（D案件以上）'!$B$4:$Y$1048576,3,FALSE),"-")</f>
        <v>-</v>
      </c>
      <c r="F59" s="12" t="str">
        <f>IFERROR(VLOOKUP($C59,'【入力用②】案件ごと売上（D案件以上）'!$B$4:$Y$1048576,4,FALSE),"-")</f>
        <v>-</v>
      </c>
      <c r="G59" s="12" t="str">
        <f>IFERROR(VLOOKUP($C59,'【入力用②】案件ごと売上（D案件以上）'!$B$4:$Y$1048576,5,FALSE),"-")</f>
        <v>-</v>
      </c>
      <c r="H59" s="12" t="str">
        <f>IFERROR(VLOOKUP($C59,'【入力用②】案件ごと売上（D案件以上）'!$B$4:$Y$1048576,6,FALSE),"-")</f>
        <v>-</v>
      </c>
      <c r="I59" s="13" t="str">
        <f>IFERROR(VLOOKUP($C59,'【入力用②】案件ごと売上（D案件以上）'!$B$4:$Y$1048576,8,FALSE),"-")</f>
        <v>-</v>
      </c>
      <c r="J59" s="13">
        <f t="shared" si="7"/>
        <v>0</v>
      </c>
      <c r="K59" s="57" t="str">
        <f t="shared" si="13"/>
        <v>-</v>
      </c>
      <c r="L59" s="13" t="str">
        <f>IFERROR(VLOOKUP($C59,'【入力用②】案件ごと売上（D案件以上）'!$B$4:$Y$1048576,11,FALSE),"-")</f>
        <v>-</v>
      </c>
      <c r="M59" s="13" t="str">
        <f t="shared" si="14"/>
        <v>-</v>
      </c>
      <c r="N59" s="43"/>
      <c r="O59" s="54"/>
      <c r="P59" s="54"/>
      <c r="Q59" s="54"/>
      <c r="R59" s="54"/>
      <c r="S59" s="54"/>
      <c r="T59" s="54"/>
      <c r="U59" s="54"/>
      <c r="V59" s="54"/>
      <c r="W59" s="54"/>
      <c r="X59" s="54"/>
      <c r="Y59" s="54"/>
      <c r="Z59" s="54"/>
      <c r="AA59" s="13" t="str">
        <f>IFERROR(VLOOKUP($N59,【管理用】BR_260204!$B$3:$D$20,3,FALSE)*O59,"-")</f>
        <v>-</v>
      </c>
      <c r="AB59" s="13" t="str">
        <f>IFERROR(VLOOKUP($N59,【管理用】BR_260204!$B$3:$D$20,3,FALSE)*P59,"-")</f>
        <v>-</v>
      </c>
      <c r="AC59" s="13" t="str">
        <f>IFERROR(VLOOKUP($N59,【管理用】BR_260204!$B$3:$D$20,3,FALSE)*Q59,"-")</f>
        <v>-</v>
      </c>
      <c r="AD59" s="13" t="str">
        <f>IFERROR(VLOOKUP($N59,【管理用】BR_260204!$B$3:$D$20,3,FALSE)*R59,"-")</f>
        <v>-</v>
      </c>
      <c r="AE59" s="13" t="str">
        <f>IFERROR(VLOOKUP($N59,【管理用】BR_260204!$B$3:$D$20,3,FALSE)*S59,"-")</f>
        <v>-</v>
      </c>
      <c r="AF59" s="13" t="str">
        <f>IFERROR(VLOOKUP($N59,【管理用】BR_260204!$B$3:$D$20,3,FALSE)*T59,"-")</f>
        <v>-</v>
      </c>
      <c r="AG59" s="13" t="str">
        <f>IFERROR(VLOOKUP($N59,【管理用】BR_260204!$B$3:$D$20,3,FALSE)*U59,"-")</f>
        <v>-</v>
      </c>
      <c r="AH59" s="13" t="str">
        <f>IFERROR(VLOOKUP($N59,【管理用】BR_260204!$B$3:$D$20,3,FALSE)*V59,"-")</f>
        <v>-</v>
      </c>
      <c r="AI59" s="13" t="str">
        <f>IFERROR(VLOOKUP($N59,【管理用】BR_260204!$B$3:$D$20,3,FALSE)*W59,"-")</f>
        <v>-</v>
      </c>
      <c r="AJ59" s="13" t="str">
        <f>IFERROR(VLOOKUP($N59,【管理用】BR_260204!$B$3:$D$20,3,FALSE)*X59,"-")</f>
        <v>-</v>
      </c>
      <c r="AK59" s="13" t="str">
        <f>IFERROR(VLOOKUP($N59,【管理用】BR_260204!$B$3:$D$20,3,FALSE)*Y59,"-")</f>
        <v>-</v>
      </c>
      <c r="AL59" s="13" t="str">
        <f>IFERROR(VLOOKUP($N59,【管理用】BR_260204!$B$3:$D$20,3,FALSE)*Z59,"-")</f>
        <v>-</v>
      </c>
      <c r="AM59" s="13">
        <f t="shared" ref="AM59:AM125" si="15">SUM(AA59:AL59)</f>
        <v>0</v>
      </c>
      <c r="AN59" s="37" t="s">
        <v>355</v>
      </c>
      <c r="AP59" s="91"/>
    </row>
    <row r="60" spans="2:42">
      <c r="B60" s="45">
        <f t="shared" si="8"/>
        <v>56</v>
      </c>
      <c r="C60" s="43">
        <v>29</v>
      </c>
      <c r="D60" s="12" t="str">
        <f>IFERROR(VLOOKUP($C60,'【入力用②】案件ごと売上（D案件以上）'!$B$4:$Y$1048576,2,FALSE),"-")</f>
        <v>パラマウントベッド</v>
      </c>
      <c r="E60" s="12" t="str">
        <f>IFERROR(VLOOKUP($C60,'【入力用②】案件ごと売上（D案件以上）'!$B$4:$Y$1048576,3,FALSE),"-")</f>
        <v>女性社員交流会 キックオフイベント支援</v>
      </c>
      <c r="F60" s="12" t="str">
        <f>IFERROR(VLOOKUP($C60,'【入力用②】案件ごと売上（D案件以上）'!$B$4:$Y$1048576,4,FALSE),"-")</f>
        <v>29_パラマウントベッド_女性社員交流会 キックオフイベント支援</v>
      </c>
      <c r="G60" s="12" t="str">
        <f>IFERROR(VLOOKUP($C60,'【入力用②】案件ごと売上（D案件以上）'!$B$4:$Y$1048576,5,FALSE),"-")</f>
        <v>その他</v>
      </c>
      <c r="H60" s="12" t="str">
        <f>IFERROR(VLOOKUP($C60,'【入力用②】案件ごと売上（D案件以上）'!$B$4:$Y$1048576,6,FALSE),"-")</f>
        <v>成立</v>
      </c>
      <c r="I60" s="13">
        <f>IFERROR(VLOOKUP($C60,'【入力用②】案件ごと売上（D案件以上）'!$B$4:$Y$1048576,8,FALSE),"-")</f>
        <v>700</v>
      </c>
      <c r="J60" s="13">
        <f t="shared" si="7"/>
        <v>282</v>
      </c>
      <c r="K60" s="57">
        <f t="shared" si="13"/>
        <v>418</v>
      </c>
      <c r="L60" s="13">
        <f>IFERROR(VLOOKUP($C60,'【入力用②】案件ごと売上（D案件以上）'!$B$4:$Y$1048576,11,FALSE),"-")</f>
        <v>1</v>
      </c>
      <c r="M60" s="13">
        <f t="shared" si="14"/>
        <v>700</v>
      </c>
      <c r="N60" s="43" t="s">
        <v>271</v>
      </c>
      <c r="O60" s="54"/>
      <c r="P60" s="54"/>
      <c r="Q60" s="54">
        <v>0.15</v>
      </c>
      <c r="R60" s="54"/>
      <c r="S60" s="54"/>
      <c r="T60" s="54"/>
      <c r="U60" s="54"/>
      <c r="V60" s="54"/>
      <c r="W60" s="54"/>
      <c r="X60" s="54"/>
      <c r="Y60" s="54"/>
      <c r="Z60" s="54"/>
      <c r="AA60" s="13">
        <f>IFERROR(VLOOKUP($N60,【管理用】BR_260204!$B$3:$D$20,3,FALSE)*O60,"-")</f>
        <v>0</v>
      </c>
      <c r="AB60" s="13">
        <f>IFERROR(VLOOKUP($N60,【管理用】BR_260204!$B$3:$D$20,3,FALSE)*P60,"-")</f>
        <v>0</v>
      </c>
      <c r="AC60" s="13">
        <f>IFERROR(VLOOKUP($N60,【管理用】BR_260204!$B$3:$D$20,3,FALSE)*Q60,"-")</f>
        <v>282</v>
      </c>
      <c r="AD60" s="13">
        <f>IFERROR(VLOOKUP($N60,【管理用】BR_260204!$B$3:$D$20,3,FALSE)*R60,"-")</f>
        <v>0</v>
      </c>
      <c r="AE60" s="13">
        <f>IFERROR(VLOOKUP($N60,【管理用】BR_260204!$B$3:$D$20,3,FALSE)*S60,"-")</f>
        <v>0</v>
      </c>
      <c r="AF60" s="13">
        <f>IFERROR(VLOOKUP($N60,【管理用】BR_260204!$B$3:$D$20,3,FALSE)*T60,"-")</f>
        <v>0</v>
      </c>
      <c r="AG60" s="13">
        <f>IFERROR(VLOOKUP($N60,【管理用】BR_260204!$B$3:$D$20,3,FALSE)*U60,"-")</f>
        <v>0</v>
      </c>
      <c r="AH60" s="13">
        <f>IFERROR(VLOOKUP($N60,【管理用】BR_260204!$B$3:$D$20,3,FALSE)*V60,"-")</f>
        <v>0</v>
      </c>
      <c r="AI60" s="13">
        <f>IFERROR(VLOOKUP($N60,【管理用】BR_260204!$B$3:$D$20,3,FALSE)*W60,"-")</f>
        <v>0</v>
      </c>
      <c r="AJ60" s="13">
        <f>IFERROR(VLOOKUP($N60,【管理用】BR_260204!$B$3:$D$20,3,FALSE)*X60,"-")</f>
        <v>0</v>
      </c>
      <c r="AK60" s="13">
        <f>IFERROR(VLOOKUP($N60,【管理用】BR_260204!$B$3:$D$20,3,FALSE)*Y60,"-")</f>
        <v>0</v>
      </c>
      <c r="AL60" s="13">
        <f>IFERROR(VLOOKUP($N60,【管理用】BR_260204!$B$3:$D$20,3,FALSE)*Z60,"-")</f>
        <v>0</v>
      </c>
      <c r="AM60" s="13">
        <f t="shared" si="15"/>
        <v>282</v>
      </c>
      <c r="AN60" s="37" t="s">
        <v>355</v>
      </c>
      <c r="AP60" s="91"/>
    </row>
    <row r="61" spans="2:42">
      <c r="B61" s="45">
        <f t="shared" si="8"/>
        <v>57</v>
      </c>
      <c r="C61" s="43">
        <v>30</v>
      </c>
      <c r="D61" s="12" t="str">
        <f>IFERROR(VLOOKUP($C61,'【入力用②】案件ごと売上（D案件以上）'!$B$4:$Y$1048576,2,FALSE),"-")</f>
        <v>パラマウントベッド</v>
      </c>
      <c r="E61" s="12" t="str">
        <f>IFERROR(VLOOKUP($C61,'【入力用②】案件ごと売上（D案件以上）'!$B$4:$Y$1048576,3,FALSE),"-")</f>
        <v>女性社員交流会_女性キャリア研修</v>
      </c>
      <c r="F61" s="12" t="str">
        <f>IFERROR(VLOOKUP($C61,'【入力用②】案件ごと売上（D案件以上）'!$B$4:$Y$1048576,4,FALSE),"-")</f>
        <v>30_パラマウントベッド_女性社員交流会_女性キャリア研修</v>
      </c>
      <c r="G61" s="12" t="str">
        <f>IFERROR(VLOOKUP($C61,'【入力用②】案件ごと売上（D案件以上）'!$B$4:$Y$1048576,5,FALSE),"-")</f>
        <v>その他</v>
      </c>
      <c r="H61" s="12" t="str">
        <f>IFERROR(VLOOKUP($C61,'【入力用②】案件ごと売上（D案件以上）'!$B$4:$Y$1048576,6,FALSE),"-")</f>
        <v>成立</v>
      </c>
      <c r="I61" s="13">
        <f>IFERROR(VLOOKUP($C61,'【入力用②】案件ごと売上（D案件以上）'!$B$4:$Y$1048576,8,FALSE),"-")</f>
        <v>1164</v>
      </c>
      <c r="J61" s="13">
        <f t="shared" si="7"/>
        <v>225.6</v>
      </c>
      <c r="K61" s="57">
        <f t="shared" si="13"/>
        <v>938.4</v>
      </c>
      <c r="L61" s="13">
        <f>IFERROR(VLOOKUP($C61,'【入力用②】案件ごと売上（D案件以上）'!$B$4:$Y$1048576,11,FALSE),"-")</f>
        <v>2</v>
      </c>
      <c r="M61" s="13">
        <f t="shared" si="14"/>
        <v>582</v>
      </c>
      <c r="N61" s="43" t="s">
        <v>271</v>
      </c>
      <c r="O61" s="54"/>
      <c r="P61" s="54"/>
      <c r="Q61" s="54"/>
      <c r="R61" s="54">
        <v>0.12</v>
      </c>
      <c r="S61" s="54"/>
      <c r="T61" s="54"/>
      <c r="U61" s="54"/>
      <c r="V61" s="54"/>
      <c r="W61" s="54"/>
      <c r="X61" s="54"/>
      <c r="Y61" s="54"/>
      <c r="Z61" s="54"/>
      <c r="AA61" s="13">
        <f>IFERROR(VLOOKUP($N61,【管理用】BR_260204!$B$3:$D$20,3,FALSE)*O61,"-")</f>
        <v>0</v>
      </c>
      <c r="AB61" s="13">
        <f>IFERROR(VLOOKUP($N61,【管理用】BR_260204!$B$3:$D$20,3,FALSE)*P61,"-")</f>
        <v>0</v>
      </c>
      <c r="AC61" s="13">
        <f>IFERROR(VLOOKUP($N61,【管理用】BR_260204!$B$3:$D$20,3,FALSE)*Q61,"-")</f>
        <v>0</v>
      </c>
      <c r="AD61" s="13">
        <f>IFERROR(VLOOKUP($N61,【管理用】BR_260204!$B$3:$D$20,3,FALSE)*R61,"-")</f>
        <v>225.6</v>
      </c>
      <c r="AE61" s="13">
        <f>IFERROR(VLOOKUP($N61,【管理用】BR_260204!$B$3:$D$20,3,FALSE)*S61,"-")</f>
        <v>0</v>
      </c>
      <c r="AF61" s="13">
        <f>IFERROR(VLOOKUP($N61,【管理用】BR_260204!$B$3:$D$20,3,FALSE)*T61,"-")</f>
        <v>0</v>
      </c>
      <c r="AG61" s="13">
        <f>IFERROR(VLOOKUP($N61,【管理用】BR_260204!$B$3:$D$20,3,FALSE)*U61,"-")</f>
        <v>0</v>
      </c>
      <c r="AH61" s="13">
        <f>IFERROR(VLOOKUP($N61,【管理用】BR_260204!$B$3:$D$20,3,FALSE)*V61,"-")</f>
        <v>0</v>
      </c>
      <c r="AI61" s="13">
        <f>IFERROR(VLOOKUP($N61,【管理用】BR_260204!$B$3:$D$20,3,FALSE)*W61,"-")</f>
        <v>0</v>
      </c>
      <c r="AJ61" s="13">
        <f>IFERROR(VLOOKUP($N61,【管理用】BR_260204!$B$3:$D$20,3,FALSE)*X61,"-")</f>
        <v>0</v>
      </c>
      <c r="AK61" s="13">
        <f>IFERROR(VLOOKUP($N61,【管理用】BR_260204!$B$3:$D$20,3,FALSE)*Y61,"-")</f>
        <v>0</v>
      </c>
      <c r="AL61" s="13">
        <f>IFERROR(VLOOKUP($N61,【管理用】BR_260204!$B$3:$D$20,3,FALSE)*Z61,"-")</f>
        <v>0</v>
      </c>
      <c r="AM61" s="13">
        <f t="shared" si="15"/>
        <v>225.6</v>
      </c>
      <c r="AN61" s="37" t="s">
        <v>355</v>
      </c>
      <c r="AP61" s="91"/>
    </row>
    <row r="62" spans="2:42">
      <c r="B62" s="45">
        <f t="shared" si="8"/>
        <v>58</v>
      </c>
      <c r="C62" s="43">
        <v>5</v>
      </c>
      <c r="D62" s="12" t="str">
        <f>IFERROR(VLOOKUP($C62,'【入力用②】案件ごと売上（D案件以上）'!$B$4:$Y$1048576,2,FALSE),"-")</f>
        <v>YAMAGATA</v>
      </c>
      <c r="E62" s="12" t="str">
        <f>IFERROR(VLOOKUP($C62,'【入力用②】案件ごと売上（D案件以上）'!$B$4:$Y$1048576,3,FALSE),"-")</f>
        <v>新事業立ち上げ支援</v>
      </c>
      <c r="F62" s="12" t="str">
        <f>IFERROR(VLOOKUP($C62,'【入力用②】案件ごと売上（D案件以上）'!$B$4:$Y$1048576,4,FALSE),"-")</f>
        <v>05_YAMAGATA_新事業立ち上げ支援</v>
      </c>
      <c r="G62" s="12" t="str">
        <f>IFERROR(VLOOKUP($C62,'【入力用②】案件ごと売上（D案件以上）'!$B$4:$Y$1048576,5,FALSE),"-")</f>
        <v>その他</v>
      </c>
      <c r="H62" s="12" t="str">
        <f>IFERROR(VLOOKUP($C62,'【入力用②】案件ごと売上（D案件以上）'!$B$4:$Y$1048576,6,FALSE),"-")</f>
        <v>成立</v>
      </c>
      <c r="I62" s="13">
        <f>IFERROR(VLOOKUP($C62,'【入力用②】案件ごと売上（D案件以上）'!$B$4:$Y$1048576,8,FALSE),"-")</f>
        <v>14500</v>
      </c>
      <c r="J62" s="13">
        <f t="shared" si="7"/>
        <v>13528</v>
      </c>
      <c r="K62" s="57">
        <f t="shared" si="13"/>
        <v>972</v>
      </c>
      <c r="L62" s="13">
        <f>IFERROR(VLOOKUP($C62,'【入力用②】案件ごと売上（D案件以上）'!$B$4:$Y$1048576,11,FALSE),"-")</f>
        <v>4</v>
      </c>
      <c r="M62" s="13">
        <f t="shared" si="14"/>
        <v>3625</v>
      </c>
      <c r="N62" s="43" t="s">
        <v>491</v>
      </c>
      <c r="O62" s="54">
        <v>0.4</v>
      </c>
      <c r="P62" s="54">
        <v>0.4</v>
      </c>
      <c r="Q62" s="54">
        <v>0.4</v>
      </c>
      <c r="R62" s="54">
        <v>0.4</v>
      </c>
      <c r="S62" s="54"/>
      <c r="T62" s="54"/>
      <c r="U62" s="54"/>
      <c r="V62" s="54"/>
      <c r="W62" s="54"/>
      <c r="X62" s="54"/>
      <c r="Y62" s="54"/>
      <c r="Z62" s="54"/>
      <c r="AA62" s="13">
        <f>IFERROR(VLOOKUP($N62,【管理用】BR_260204!$B$3:$D$20,3,FALSE)*O62,"-")</f>
        <v>400</v>
      </c>
      <c r="AB62" s="13">
        <f>IFERROR(VLOOKUP($N62,【管理用】BR_260204!$B$3:$D$20,3,FALSE)*P62,"-")</f>
        <v>400</v>
      </c>
      <c r="AC62" s="13">
        <f>IFERROR(VLOOKUP($N62,【管理用】BR_260204!$B$3:$D$20,3,FALSE)*Q62,"-")</f>
        <v>400</v>
      </c>
      <c r="AD62" s="13">
        <f>IFERROR(VLOOKUP($N62,【管理用】BR_260204!$B$3:$D$20,3,FALSE)*R62,"-")</f>
        <v>400</v>
      </c>
      <c r="AE62" s="13">
        <f>IFERROR(VLOOKUP($N62,【管理用】BR_260204!$B$3:$D$20,3,FALSE)*S62,"-")</f>
        <v>0</v>
      </c>
      <c r="AF62" s="13">
        <f>IFERROR(VLOOKUP($N62,【管理用】BR_260204!$B$3:$D$20,3,FALSE)*T62,"-")</f>
        <v>0</v>
      </c>
      <c r="AG62" s="13">
        <f>IFERROR(VLOOKUP($N62,【管理用】BR_260204!$B$3:$D$20,3,FALSE)*U62,"-")</f>
        <v>0</v>
      </c>
      <c r="AH62" s="13">
        <f>IFERROR(VLOOKUP($N62,【管理用】BR_260204!$B$3:$D$20,3,FALSE)*V62,"-")</f>
        <v>0</v>
      </c>
      <c r="AI62" s="13">
        <f>IFERROR(VLOOKUP($N62,【管理用】BR_260204!$B$3:$D$20,3,FALSE)*W62,"-")</f>
        <v>0</v>
      </c>
      <c r="AJ62" s="13">
        <f>IFERROR(VLOOKUP($N62,【管理用】BR_260204!$B$3:$D$20,3,FALSE)*X62,"-")</f>
        <v>0</v>
      </c>
      <c r="AK62" s="13">
        <f>IFERROR(VLOOKUP($N62,【管理用】BR_260204!$B$3:$D$20,3,FALSE)*Y62,"-")</f>
        <v>0</v>
      </c>
      <c r="AL62" s="13">
        <f>IFERROR(VLOOKUP($N62,【管理用】BR_260204!$B$3:$D$20,3,FALSE)*Z62,"-")</f>
        <v>0</v>
      </c>
      <c r="AM62" s="13">
        <f t="shared" si="15"/>
        <v>1600</v>
      </c>
      <c r="AN62" s="37" t="s">
        <v>355</v>
      </c>
      <c r="AP62" s="91"/>
    </row>
    <row r="63" spans="2:42">
      <c r="B63" s="45">
        <f t="shared" si="8"/>
        <v>59</v>
      </c>
      <c r="C63" s="43">
        <v>31</v>
      </c>
      <c r="D63" s="12" t="str">
        <f>IFERROR(VLOOKUP($C63,'【入力用②】案件ごと売上（D案件以上）'!$B$4:$Y$1048576,2,FALSE),"-")</f>
        <v>パーソルクロステクノロジー</v>
      </c>
      <c r="E63" s="12" t="str">
        <f>IFERROR(VLOOKUP($C63,'【入力用②】案件ごと売上（D案件以上）'!$B$4:$Y$1048576,3,FALSE),"-")</f>
        <v>社内広報業務支援</v>
      </c>
      <c r="F63" s="12" t="str">
        <f>IFERROR(VLOOKUP($C63,'【入力用②】案件ごと売上（D案件以上）'!$B$4:$Y$1048576,4,FALSE),"-")</f>
        <v>31_パーソルクロステクノロジー_社内広報業務支援</v>
      </c>
      <c r="G63" s="12" t="str">
        <f>IFERROR(VLOOKUP($C63,'【入力用②】案件ごと売上（D案件以上）'!$B$4:$Y$1048576,5,FALSE),"-")</f>
        <v>組織開発</v>
      </c>
      <c r="H63" s="12" t="str">
        <f>IFERROR(VLOOKUP($C63,'【入力用②】案件ごと売上（D案件以上）'!$B$4:$Y$1048576,6,FALSE),"-")</f>
        <v>成立</v>
      </c>
      <c r="I63" s="13">
        <f>IFERROR(VLOOKUP($C63,'【入力用②】案件ごと売上（D案件以上）'!$B$4:$Y$1048576,8,FALSE),"-")</f>
        <v>2250</v>
      </c>
      <c r="J63" s="13">
        <f t="shared" si="7"/>
        <v>2256</v>
      </c>
      <c r="K63" s="57">
        <f t="shared" si="13"/>
        <v>-6</v>
      </c>
      <c r="L63" s="13">
        <f>IFERROR(VLOOKUP($C63,'【入力用②】案件ごと売上（D案件以上）'!$B$4:$Y$1048576,11,FALSE),"-")</f>
        <v>3</v>
      </c>
      <c r="M63" s="13">
        <f t="shared" si="14"/>
        <v>750</v>
      </c>
      <c r="N63" s="43" t="s">
        <v>271</v>
      </c>
      <c r="O63" s="54"/>
      <c r="P63" s="54">
        <v>0.4</v>
      </c>
      <c r="Q63" s="54">
        <v>0.4</v>
      </c>
      <c r="R63" s="54">
        <v>0.4</v>
      </c>
      <c r="S63" s="54"/>
      <c r="T63" s="54"/>
      <c r="U63" s="54"/>
      <c r="V63" s="54"/>
      <c r="W63" s="54"/>
      <c r="X63" s="54"/>
      <c r="Y63" s="54"/>
      <c r="Z63" s="54"/>
      <c r="AA63" s="13">
        <f>IFERROR(VLOOKUP($N63,【管理用】BR_260204!$B$3:$D$20,3,FALSE)*O63,"-")</f>
        <v>0</v>
      </c>
      <c r="AB63" s="13">
        <f>IFERROR(VLOOKUP($N63,【管理用】BR_260204!$B$3:$D$20,3,FALSE)*P63,"-")</f>
        <v>752</v>
      </c>
      <c r="AC63" s="13">
        <f>IFERROR(VLOOKUP($N63,【管理用】BR_260204!$B$3:$D$20,3,FALSE)*Q63,"-")</f>
        <v>752</v>
      </c>
      <c r="AD63" s="13">
        <f>IFERROR(VLOOKUP($N63,【管理用】BR_260204!$B$3:$D$20,3,FALSE)*R63,"-")</f>
        <v>752</v>
      </c>
      <c r="AE63" s="13">
        <f>IFERROR(VLOOKUP($N63,【管理用】BR_260204!$B$3:$D$20,3,FALSE)*S63,"-")</f>
        <v>0</v>
      </c>
      <c r="AF63" s="13">
        <f>IFERROR(VLOOKUP($N63,【管理用】BR_260204!$B$3:$D$20,3,FALSE)*T63,"-")</f>
        <v>0</v>
      </c>
      <c r="AG63" s="13">
        <f>IFERROR(VLOOKUP($N63,【管理用】BR_260204!$B$3:$D$20,3,FALSE)*U63,"-")</f>
        <v>0</v>
      </c>
      <c r="AH63" s="13">
        <f>IFERROR(VLOOKUP($N63,【管理用】BR_260204!$B$3:$D$20,3,FALSE)*V63,"-")</f>
        <v>0</v>
      </c>
      <c r="AI63" s="13">
        <f>IFERROR(VLOOKUP($N63,【管理用】BR_260204!$B$3:$D$20,3,FALSE)*W63,"-")</f>
        <v>0</v>
      </c>
      <c r="AJ63" s="13">
        <f>IFERROR(VLOOKUP($N63,【管理用】BR_260204!$B$3:$D$20,3,FALSE)*X63,"-")</f>
        <v>0</v>
      </c>
      <c r="AK63" s="13">
        <f>IFERROR(VLOOKUP($N63,【管理用】BR_260204!$B$3:$D$20,3,FALSE)*Y63,"-")</f>
        <v>0</v>
      </c>
      <c r="AL63" s="13">
        <f>IFERROR(VLOOKUP($N63,【管理用】BR_260204!$B$3:$D$20,3,FALSE)*Z63,"-")</f>
        <v>0</v>
      </c>
      <c r="AM63" s="13">
        <f t="shared" si="15"/>
        <v>2256</v>
      </c>
      <c r="AN63" s="37" t="s">
        <v>355</v>
      </c>
      <c r="AP63" s="91"/>
    </row>
    <row r="64" spans="2:42">
      <c r="B64" s="45">
        <f t="shared" si="8"/>
        <v>60</v>
      </c>
      <c r="C64" s="43">
        <v>34</v>
      </c>
      <c r="D64" s="12" t="str">
        <f>IFERROR(VLOOKUP($C64,'【入力用②】案件ごと売上（D案件以上）'!$B$4:$Y$1048576,2,FALSE),"-")</f>
        <v>インテージテクノスフィア</v>
      </c>
      <c r="E64" s="12" t="str">
        <f>IFERROR(VLOOKUP($C64,'【入力用②】案件ごと売上（D案件以上）'!$B$4:$Y$1048576,3,FALSE),"-")</f>
        <v>経営層向けレポート作成支援_Phase1</v>
      </c>
      <c r="F64" s="12" t="str">
        <f>IFERROR(VLOOKUP($C64,'【入力用②】案件ごと売上（D案件以上）'!$B$4:$Y$1048576,4,FALSE),"-")</f>
        <v>34_インテージテクノスフィア_経営層向けレポート作成支援_Phase1</v>
      </c>
      <c r="G64" s="12" t="str">
        <f>IFERROR(VLOOKUP($C64,'【入力用②】案件ごと売上（D案件以上）'!$B$4:$Y$1048576,5,FALSE),"-")</f>
        <v>その他</v>
      </c>
      <c r="H64" s="12" t="str">
        <f>IFERROR(VLOOKUP($C64,'【入力用②】案件ごと売上（D案件以上）'!$B$4:$Y$1048576,6,FALSE),"-")</f>
        <v>失注</v>
      </c>
      <c r="I64" s="13">
        <f>IFERROR(VLOOKUP($C64,'【入力用②】案件ごと売上（D案件以上）'!$B$4:$Y$1048576,8,FALSE),"-")</f>
        <v>900</v>
      </c>
      <c r="J64" s="13">
        <f t="shared" si="7"/>
        <v>889.6</v>
      </c>
      <c r="K64" s="57">
        <f t="shared" si="13"/>
        <v>10.399999999999977</v>
      </c>
      <c r="L64" s="13">
        <f>IFERROR(VLOOKUP($C64,'【入力用②】案件ごと売上（D案件以上）'!$B$4:$Y$1048576,11,FALSE),"-")</f>
        <v>1</v>
      </c>
      <c r="M64" s="13">
        <f t="shared" si="14"/>
        <v>900</v>
      </c>
      <c r="N64" s="43" t="s">
        <v>412</v>
      </c>
      <c r="O64" s="54"/>
      <c r="P64" s="54">
        <v>0.4</v>
      </c>
      <c r="Q64" s="54"/>
      <c r="R64" s="54"/>
      <c r="S64" s="54"/>
      <c r="T64" s="54"/>
      <c r="U64" s="54"/>
      <c r="V64" s="54"/>
      <c r="W64" s="54"/>
      <c r="X64" s="54"/>
      <c r="Y64" s="54"/>
      <c r="Z64" s="54"/>
      <c r="AA64" s="13">
        <f>IFERROR(VLOOKUP($N64,【管理用】BR_260204!$B$3:$D$20,3,FALSE)*O64,"-")</f>
        <v>0</v>
      </c>
      <c r="AB64" s="13">
        <f>IFERROR(VLOOKUP($N64,【管理用】BR_260204!$B$3:$D$20,3,FALSE)*P64,"-")</f>
        <v>828</v>
      </c>
      <c r="AC64" s="13">
        <f>IFERROR(VLOOKUP($N64,【管理用】BR_260204!$B$3:$D$20,3,FALSE)*Q64,"-")</f>
        <v>0</v>
      </c>
      <c r="AD64" s="13">
        <f>IFERROR(VLOOKUP($N64,【管理用】BR_260204!$B$3:$D$20,3,FALSE)*R64,"-")</f>
        <v>0</v>
      </c>
      <c r="AE64" s="13">
        <f>IFERROR(VLOOKUP($N64,【管理用】BR_260204!$B$3:$D$20,3,FALSE)*S64,"-")</f>
        <v>0</v>
      </c>
      <c r="AF64" s="13">
        <f>IFERROR(VLOOKUP($N64,【管理用】BR_260204!$B$3:$D$20,3,FALSE)*T64,"-")</f>
        <v>0</v>
      </c>
      <c r="AG64" s="13">
        <f>IFERROR(VLOOKUP($N64,【管理用】BR_260204!$B$3:$D$20,3,FALSE)*U64,"-")</f>
        <v>0</v>
      </c>
      <c r="AH64" s="13">
        <f>IFERROR(VLOOKUP($N64,【管理用】BR_260204!$B$3:$D$20,3,FALSE)*V64,"-")</f>
        <v>0</v>
      </c>
      <c r="AI64" s="13">
        <f>IFERROR(VLOOKUP($N64,【管理用】BR_260204!$B$3:$D$20,3,FALSE)*W64,"-")</f>
        <v>0</v>
      </c>
      <c r="AJ64" s="13">
        <f>IFERROR(VLOOKUP($N64,【管理用】BR_260204!$B$3:$D$20,3,FALSE)*X64,"-")</f>
        <v>0</v>
      </c>
      <c r="AK64" s="13">
        <f>IFERROR(VLOOKUP($N64,【管理用】BR_260204!$B$3:$D$20,3,FALSE)*Y64,"-")</f>
        <v>0</v>
      </c>
      <c r="AL64" s="13">
        <f>IFERROR(VLOOKUP($N64,【管理用】BR_260204!$B$3:$D$20,3,FALSE)*Z64,"-")</f>
        <v>0</v>
      </c>
      <c r="AM64" s="13">
        <f t="shared" si="15"/>
        <v>828</v>
      </c>
      <c r="AN64" s="37" t="s">
        <v>355</v>
      </c>
      <c r="AP64" s="91"/>
    </row>
    <row r="65" spans="2:42">
      <c r="B65" s="45">
        <f t="shared" si="8"/>
        <v>61</v>
      </c>
      <c r="C65" s="43">
        <v>34</v>
      </c>
      <c r="D65" s="12" t="str">
        <f>IFERROR(VLOOKUP($C65,'【入力用②】案件ごと売上（D案件以上）'!$B$4:$Y$1048576,2,FALSE),"-")</f>
        <v>インテージテクノスフィア</v>
      </c>
      <c r="E65" s="12" t="str">
        <f>IFERROR(VLOOKUP($C65,'【入力用②】案件ごと売上（D案件以上）'!$B$4:$Y$1048576,3,FALSE),"-")</f>
        <v>経営層向けレポート作成支援_Phase1</v>
      </c>
      <c r="F65" s="12" t="str">
        <f>IFERROR(VLOOKUP($C65,'【入力用②】案件ごと売上（D案件以上）'!$B$4:$Y$1048576,4,FALSE),"-")</f>
        <v>34_インテージテクノスフィア_経営層向けレポート作成支援_Phase1</v>
      </c>
      <c r="G65" s="12" t="str">
        <f>IFERROR(VLOOKUP($C65,'【入力用②】案件ごと売上（D案件以上）'!$B$4:$Y$1048576,5,FALSE),"-")</f>
        <v>その他</v>
      </c>
      <c r="H65" s="12" t="str">
        <f>IFERROR(VLOOKUP($C65,'【入力用②】案件ごと売上（D案件以上）'!$B$4:$Y$1048576,6,FALSE),"-")</f>
        <v>失注</v>
      </c>
      <c r="I65" s="13">
        <f>IFERROR(VLOOKUP($C65,'【入力用②】案件ごと売上（D案件以上）'!$B$4:$Y$1048576,8,FALSE),"-")</f>
        <v>900</v>
      </c>
      <c r="J65" s="13">
        <f t="shared" si="7"/>
        <v>889.6</v>
      </c>
      <c r="K65" s="57">
        <f t="shared" si="13"/>
        <v>10.399999999999977</v>
      </c>
      <c r="L65" s="13">
        <f>IFERROR(VLOOKUP($C65,'【入力用②】案件ごと売上（D案件以上）'!$B$4:$Y$1048576,11,FALSE),"-")</f>
        <v>1</v>
      </c>
      <c r="M65" s="13">
        <f t="shared" si="14"/>
        <v>900</v>
      </c>
      <c r="N65" s="43" t="s">
        <v>396</v>
      </c>
      <c r="O65" s="54"/>
      <c r="P65" s="54">
        <v>0.01</v>
      </c>
      <c r="Q65" s="54"/>
      <c r="R65" s="54"/>
      <c r="S65" s="54"/>
      <c r="T65" s="54"/>
      <c r="U65" s="54"/>
      <c r="V65" s="54"/>
      <c r="W65" s="54"/>
      <c r="X65" s="54"/>
      <c r="Y65" s="54"/>
      <c r="Z65" s="54"/>
      <c r="AA65" s="13">
        <f>IFERROR(VLOOKUP($N65,【管理用】BR_260204!$B$3:$D$20,3,FALSE)*O65,"-")</f>
        <v>0</v>
      </c>
      <c r="AB65" s="13">
        <f>IFERROR(VLOOKUP($N65,【管理用】BR_260204!$B$3:$D$20,3,FALSE)*P65,"-")</f>
        <v>61.6</v>
      </c>
      <c r="AC65" s="13">
        <f>IFERROR(VLOOKUP($N65,【管理用】BR_260204!$B$3:$D$20,3,FALSE)*Q65,"-")</f>
        <v>0</v>
      </c>
      <c r="AD65" s="13">
        <f>IFERROR(VLOOKUP($N65,【管理用】BR_260204!$B$3:$D$20,3,FALSE)*R65,"-")</f>
        <v>0</v>
      </c>
      <c r="AE65" s="13">
        <f>IFERROR(VLOOKUP($N65,【管理用】BR_260204!$B$3:$D$20,3,FALSE)*S65,"-")</f>
        <v>0</v>
      </c>
      <c r="AF65" s="13">
        <f>IFERROR(VLOOKUP($N65,【管理用】BR_260204!$B$3:$D$20,3,FALSE)*T65,"-")</f>
        <v>0</v>
      </c>
      <c r="AG65" s="13">
        <f>IFERROR(VLOOKUP($N65,【管理用】BR_260204!$B$3:$D$20,3,FALSE)*U65,"-")</f>
        <v>0</v>
      </c>
      <c r="AH65" s="13">
        <f>IFERROR(VLOOKUP($N65,【管理用】BR_260204!$B$3:$D$20,3,FALSE)*V65,"-")</f>
        <v>0</v>
      </c>
      <c r="AI65" s="13">
        <f>IFERROR(VLOOKUP($N65,【管理用】BR_260204!$B$3:$D$20,3,FALSE)*W65,"-")</f>
        <v>0</v>
      </c>
      <c r="AJ65" s="13">
        <f>IFERROR(VLOOKUP($N65,【管理用】BR_260204!$B$3:$D$20,3,FALSE)*X65,"-")</f>
        <v>0</v>
      </c>
      <c r="AK65" s="13">
        <f>IFERROR(VLOOKUP($N65,【管理用】BR_260204!$B$3:$D$20,3,FALSE)*Y65,"-")</f>
        <v>0</v>
      </c>
      <c r="AL65" s="13">
        <f>IFERROR(VLOOKUP($N65,【管理用】BR_260204!$B$3:$D$20,3,FALSE)*Z65,"-")</f>
        <v>0</v>
      </c>
      <c r="AM65" s="13">
        <f t="shared" si="15"/>
        <v>61.6</v>
      </c>
      <c r="AN65" s="37" t="s">
        <v>355</v>
      </c>
      <c r="AP65" s="91"/>
    </row>
    <row r="66" spans="2:42">
      <c r="B66" s="45">
        <f t="shared" si="8"/>
        <v>62</v>
      </c>
      <c r="C66" s="43">
        <v>36</v>
      </c>
      <c r="D66" s="12" t="str">
        <f>IFERROR(VLOOKUP($C66,'【入力用②】案件ごと売上（D案件以上）'!$B$4:$Y$1048576,2,FALSE),"-")</f>
        <v>パラドックス</v>
      </c>
      <c r="E66" s="12" t="str">
        <f>IFERROR(VLOOKUP($C66,'【入力用②】案件ごと売上（D案件以上）'!$B$4:$Y$1048576,3,FALSE),"-")</f>
        <v>森の歩き方実装支援（10月以降）</v>
      </c>
      <c r="F66" s="12" t="str">
        <f>IFERROR(VLOOKUP($C66,'【入力用②】案件ごと売上（D案件以上）'!$B$4:$Y$1048576,4,FALSE),"-")</f>
        <v>36_パラドックス_森の歩き方実装支援（10月以降）</v>
      </c>
      <c r="G66" s="12" t="str">
        <f>IFERROR(VLOOKUP($C66,'【入力用②】案件ごと売上（D案件以上）'!$B$4:$Y$1048576,5,FALSE),"-")</f>
        <v>人材育成</v>
      </c>
      <c r="H66" s="12" t="str">
        <f>IFERROR(VLOOKUP($C66,'【入力用②】案件ごと売上（D案件以上）'!$B$4:$Y$1048576,6,FALSE),"-")</f>
        <v>成立</v>
      </c>
      <c r="I66" s="13">
        <f>IFERROR(VLOOKUP($C66,'【入力用②】案件ごと売上（D案件以上）'!$B$4:$Y$1048576,8,FALSE),"-")</f>
        <v>1650</v>
      </c>
      <c r="J66" s="13">
        <f t="shared" si="7"/>
        <v>1657.5</v>
      </c>
      <c r="K66" s="57">
        <f t="shared" si="13"/>
        <v>-7.5</v>
      </c>
      <c r="L66" s="13">
        <f>IFERROR(VLOOKUP($C66,'【入力用②】案件ごと売上（D案件以上）'!$B$4:$Y$1048576,11,FALSE),"-")</f>
        <v>6</v>
      </c>
      <c r="M66" s="13">
        <f t="shared" si="14"/>
        <v>275</v>
      </c>
      <c r="N66" s="43" t="s">
        <v>490</v>
      </c>
      <c r="O66" s="54"/>
      <c r="P66" s="54">
        <v>0.05</v>
      </c>
      <c r="Q66" s="54">
        <v>0.12</v>
      </c>
      <c r="R66" s="54">
        <v>0.12</v>
      </c>
      <c r="S66" s="54">
        <v>0.12</v>
      </c>
      <c r="T66" s="54">
        <v>0.12</v>
      </c>
      <c r="U66" s="54">
        <v>0.12</v>
      </c>
      <c r="V66" s="54"/>
      <c r="W66" s="54"/>
      <c r="X66" s="54"/>
      <c r="Y66" s="54"/>
      <c r="Z66" s="54"/>
      <c r="AA66" s="13">
        <f>IFERROR(VLOOKUP($N66,【管理用】BR_260204!$B$3:$D$20,3,FALSE)*O66,"-")</f>
        <v>0</v>
      </c>
      <c r="AB66" s="13">
        <f>IFERROR(VLOOKUP($N66,【管理用】BR_260204!$B$3:$D$20,3,FALSE)*P66,"-")</f>
        <v>127.5</v>
      </c>
      <c r="AC66" s="13">
        <f>IFERROR(VLOOKUP($N66,【管理用】BR_260204!$B$3:$D$20,3,FALSE)*Q66,"-")</f>
        <v>306</v>
      </c>
      <c r="AD66" s="13">
        <f>IFERROR(VLOOKUP($N66,【管理用】BR_260204!$B$3:$D$20,3,FALSE)*R66,"-")</f>
        <v>306</v>
      </c>
      <c r="AE66" s="13">
        <f>IFERROR(VLOOKUP($N66,【管理用】BR_260204!$B$3:$D$20,3,FALSE)*S66,"-")</f>
        <v>306</v>
      </c>
      <c r="AF66" s="13">
        <f>IFERROR(VLOOKUP($N66,【管理用】BR_260204!$B$3:$D$20,3,FALSE)*T66,"-")</f>
        <v>306</v>
      </c>
      <c r="AG66" s="13">
        <f>IFERROR(VLOOKUP($N66,【管理用】BR_260204!$B$3:$D$20,3,FALSE)*U66,"-")</f>
        <v>306</v>
      </c>
      <c r="AH66" s="13">
        <f>IFERROR(VLOOKUP($N66,【管理用】BR_260204!$B$3:$D$20,3,FALSE)*V66,"-")</f>
        <v>0</v>
      </c>
      <c r="AI66" s="13">
        <f>IFERROR(VLOOKUP($N66,【管理用】BR_260204!$B$3:$D$20,3,FALSE)*W66,"-")</f>
        <v>0</v>
      </c>
      <c r="AJ66" s="13">
        <f>IFERROR(VLOOKUP($N66,【管理用】BR_260204!$B$3:$D$20,3,FALSE)*X66,"-")</f>
        <v>0</v>
      </c>
      <c r="AK66" s="13">
        <f>IFERROR(VLOOKUP($N66,【管理用】BR_260204!$B$3:$D$20,3,FALSE)*Y66,"-")</f>
        <v>0</v>
      </c>
      <c r="AL66" s="13">
        <f>IFERROR(VLOOKUP($N66,【管理用】BR_260204!$B$3:$D$20,3,FALSE)*Z66,"-")</f>
        <v>0</v>
      </c>
      <c r="AM66" s="13">
        <f t="shared" si="15"/>
        <v>1657.5</v>
      </c>
      <c r="AN66" s="37" t="s">
        <v>355</v>
      </c>
      <c r="AP66" s="91"/>
    </row>
    <row r="67" spans="2:42">
      <c r="B67" s="45">
        <f t="shared" si="8"/>
        <v>63</v>
      </c>
      <c r="C67" s="43">
        <v>33</v>
      </c>
      <c r="D67" s="12" t="str">
        <f>IFERROR(VLOOKUP($C67,'【入力用②】案件ごと売上（D案件以上）'!$B$4:$Y$1048576,2,FALSE),"-")</f>
        <v>田島ルーフィング</v>
      </c>
      <c r="E67" s="12" t="str">
        <f>IFERROR(VLOOKUP($C67,'【入力用②】案件ごと売上（D案件以上）'!$B$4:$Y$1048576,3,FALSE),"-")</f>
        <v>推せる職場診断</v>
      </c>
      <c r="F67" s="12" t="str">
        <f>IFERROR(VLOOKUP($C67,'【入力用②】案件ごと売上（D案件以上）'!$B$4:$Y$1048576,4,FALSE),"-")</f>
        <v>33_田島ルーフィング_推せる職場診断</v>
      </c>
      <c r="G67" s="12" t="str">
        <f>IFERROR(VLOOKUP($C67,'【入力用②】案件ごと売上（D案件以上）'!$B$4:$Y$1048576,5,FALSE),"-")</f>
        <v>組織開発</v>
      </c>
      <c r="H67" s="12" t="str">
        <f>IFERROR(VLOOKUP($C67,'【入力用②】案件ごと売上（D案件以上）'!$B$4:$Y$1048576,6,FALSE),"-")</f>
        <v>成立</v>
      </c>
      <c r="I67" s="13">
        <f>IFERROR(VLOOKUP($C67,'【入力用②】案件ごと売上（D案件以上）'!$B$4:$Y$1048576,8,FALSE),"-")</f>
        <v>3100</v>
      </c>
      <c r="J67" s="13">
        <f t="shared" si="7"/>
        <v>3118.65</v>
      </c>
      <c r="K67" s="57">
        <f t="shared" si="13"/>
        <v>-18.650000000000091</v>
      </c>
      <c r="L67" s="13">
        <f>IFERROR(VLOOKUP($C67,'【入力用②】案件ごと売上（D案件以上）'!$B$4:$Y$1048576,11,FALSE),"-")</f>
        <v>5</v>
      </c>
      <c r="M67" s="13">
        <f t="shared" si="14"/>
        <v>620</v>
      </c>
      <c r="N67" s="43" t="s">
        <v>490</v>
      </c>
      <c r="O67" s="54"/>
      <c r="P67" s="54">
        <v>0.39400000000000002</v>
      </c>
      <c r="Q67" s="54">
        <v>0.39400000000000002</v>
      </c>
      <c r="R67" s="54">
        <v>0.12</v>
      </c>
      <c r="S67" s="54">
        <v>0.12</v>
      </c>
      <c r="T67" s="54">
        <v>0.19500000000000001</v>
      </c>
      <c r="U67" s="54"/>
      <c r="V67" s="54"/>
      <c r="W67" s="54"/>
      <c r="X67" s="54"/>
      <c r="Y67" s="54"/>
      <c r="Z67" s="54"/>
      <c r="AA67" s="13">
        <f>IFERROR(VLOOKUP($N67,【管理用】BR_260204!$B$3:$D$20,3,FALSE)*O67,"-")</f>
        <v>0</v>
      </c>
      <c r="AB67" s="13">
        <f>IFERROR(VLOOKUP($N67,【管理用】BR_260204!$B$3:$D$20,3,FALSE)*P67,"-")</f>
        <v>1004.7</v>
      </c>
      <c r="AC67" s="13">
        <f>IFERROR(VLOOKUP($N67,【管理用】BR_260204!$B$3:$D$20,3,FALSE)*Q67,"-")</f>
        <v>1004.7</v>
      </c>
      <c r="AD67" s="13">
        <f>IFERROR(VLOOKUP($N67,【管理用】BR_260204!$B$3:$D$20,3,FALSE)*R67,"-")</f>
        <v>306</v>
      </c>
      <c r="AE67" s="13">
        <f>IFERROR(VLOOKUP($N67,【管理用】BR_260204!$B$3:$D$20,3,FALSE)*S67,"-")</f>
        <v>306</v>
      </c>
      <c r="AF67" s="13">
        <f>IFERROR(VLOOKUP($N67,【管理用】BR_260204!$B$3:$D$20,3,FALSE)*T67,"-")</f>
        <v>497.25</v>
      </c>
      <c r="AG67" s="13">
        <f>IFERROR(VLOOKUP($N67,【管理用】BR_260204!$B$3:$D$20,3,FALSE)*U67,"-")</f>
        <v>0</v>
      </c>
      <c r="AH67" s="13">
        <f>IFERROR(VLOOKUP($N67,【管理用】BR_260204!$B$3:$D$20,3,FALSE)*V67,"-")</f>
        <v>0</v>
      </c>
      <c r="AI67" s="13">
        <f>IFERROR(VLOOKUP($N67,【管理用】BR_260204!$B$3:$D$20,3,FALSE)*W67,"-")</f>
        <v>0</v>
      </c>
      <c r="AJ67" s="13">
        <f>IFERROR(VLOOKUP($N67,【管理用】BR_260204!$B$3:$D$20,3,FALSE)*X67,"-")</f>
        <v>0</v>
      </c>
      <c r="AK67" s="13">
        <f>IFERROR(VLOOKUP($N67,【管理用】BR_260204!$B$3:$D$20,3,FALSE)*Y67,"-")</f>
        <v>0</v>
      </c>
      <c r="AL67" s="13">
        <f>IFERROR(VLOOKUP($N67,【管理用】BR_260204!$B$3:$D$20,3,FALSE)*Z67,"-")</f>
        <v>0</v>
      </c>
      <c r="AM67" s="13">
        <f t="shared" si="15"/>
        <v>3118.65</v>
      </c>
      <c r="AN67" s="37" t="s">
        <v>355</v>
      </c>
      <c r="AP67" s="91"/>
    </row>
    <row r="68" spans="2:42">
      <c r="B68" s="45">
        <f t="shared" si="8"/>
        <v>64</v>
      </c>
      <c r="C68" s="43">
        <v>40</v>
      </c>
      <c r="D68" s="12" t="str">
        <f>IFERROR(VLOOKUP($C68,'【入力用②】案件ごと売上（D案件以上）'!$B$4:$Y$1048576,2,FALSE),"-")</f>
        <v>三井情報</v>
      </c>
      <c r="E68" s="12" t="str">
        <f>IFERROR(VLOOKUP($C68,'【入力用②】案件ごと売上（D案件以上）'!$B$4:$Y$1048576,3,FALSE),"-")</f>
        <v>人材マネジメントアドバイザリー</v>
      </c>
      <c r="F68" s="12" t="str">
        <f>IFERROR(VLOOKUP($C68,'【入力用②】案件ごと売上（D案件以上）'!$B$4:$Y$1048576,4,FALSE),"-")</f>
        <v>40_三井情報_人材マネジメントアドバイザリー</v>
      </c>
      <c r="G68" s="12" t="str">
        <f>IFERROR(VLOOKUP($C68,'【入力用②】案件ごと売上（D案件以上）'!$B$4:$Y$1048576,5,FALSE),"-")</f>
        <v>人材育成</v>
      </c>
      <c r="H68" s="12" t="str">
        <f>IFERROR(VLOOKUP($C68,'【入力用②】案件ごと売上（D案件以上）'!$B$4:$Y$1048576,6,FALSE),"-")</f>
        <v>成立</v>
      </c>
      <c r="I68" s="13">
        <f>IFERROR(VLOOKUP($C68,'【入力用②】案件ごと売上（D案件以上）'!$B$4:$Y$1048576,8,FALSE),"-")</f>
        <v>3500</v>
      </c>
      <c r="J68" s="13">
        <f t="shared" si="7"/>
        <v>3442.5</v>
      </c>
      <c r="K68" s="57">
        <f t="shared" si="13"/>
        <v>57.5</v>
      </c>
      <c r="L68" s="13">
        <f>IFERROR(VLOOKUP($C68,'【入力用②】案件ごと売上（D案件以上）'!$B$4:$Y$1048576,11,FALSE),"-")</f>
        <v>5</v>
      </c>
      <c r="M68" s="13">
        <f t="shared" si="14"/>
        <v>700</v>
      </c>
      <c r="N68" s="43" t="s">
        <v>396</v>
      </c>
      <c r="O68" s="54"/>
      <c r="P68" s="54"/>
      <c r="Q68" s="54"/>
      <c r="R68" s="54"/>
      <c r="S68" s="54"/>
      <c r="T68" s="54"/>
      <c r="U68" s="54"/>
      <c r="V68" s="54"/>
      <c r="W68" s="54"/>
      <c r="X68" s="54"/>
      <c r="Y68" s="54"/>
      <c r="Z68" s="54"/>
      <c r="AA68" s="13">
        <f>IFERROR(VLOOKUP($N68,【管理用】BR_260204!$B$3:$D$20,3,FALSE)*O68,"-")</f>
        <v>0</v>
      </c>
      <c r="AB68" s="13">
        <f>IFERROR(VLOOKUP($N68,【管理用】BR_260204!$B$3:$D$20,3,FALSE)*P68,"-")</f>
        <v>0</v>
      </c>
      <c r="AC68" s="13">
        <f>IFERROR(VLOOKUP($N68,【管理用】BR_260204!$B$3:$D$20,3,FALSE)*Q68,"-")</f>
        <v>0</v>
      </c>
      <c r="AD68" s="13">
        <f>IFERROR(VLOOKUP($N68,【管理用】BR_260204!$B$3:$D$20,3,FALSE)*R68,"-")</f>
        <v>0</v>
      </c>
      <c r="AE68" s="13">
        <f>IFERROR(VLOOKUP($N68,【管理用】BR_260204!$B$3:$D$20,3,FALSE)*S68,"-")</f>
        <v>0</v>
      </c>
      <c r="AF68" s="13">
        <f>IFERROR(VLOOKUP($N68,【管理用】BR_260204!$B$3:$D$20,3,FALSE)*T68,"-")</f>
        <v>0</v>
      </c>
      <c r="AG68" s="13">
        <f>IFERROR(VLOOKUP($N68,【管理用】BR_260204!$B$3:$D$20,3,FALSE)*U68,"-")</f>
        <v>0</v>
      </c>
      <c r="AH68" s="13">
        <f>IFERROR(VLOOKUP($N68,【管理用】BR_260204!$B$3:$D$20,3,FALSE)*V68,"-")</f>
        <v>0</v>
      </c>
      <c r="AI68" s="13">
        <f>IFERROR(VLOOKUP($N68,【管理用】BR_260204!$B$3:$D$20,3,FALSE)*W68,"-")</f>
        <v>0</v>
      </c>
      <c r="AJ68" s="13">
        <f>IFERROR(VLOOKUP($N68,【管理用】BR_260204!$B$3:$D$20,3,FALSE)*X68,"-")</f>
        <v>0</v>
      </c>
      <c r="AK68" s="13">
        <f>IFERROR(VLOOKUP($N68,【管理用】BR_260204!$B$3:$D$20,3,FALSE)*Y68,"-")</f>
        <v>0</v>
      </c>
      <c r="AL68" s="13">
        <f>IFERROR(VLOOKUP($N68,【管理用】BR_260204!$B$3:$D$20,3,FALSE)*Z68,"-")</f>
        <v>0</v>
      </c>
      <c r="AM68" s="13">
        <f t="shared" si="15"/>
        <v>0</v>
      </c>
      <c r="AN68" s="37" t="s">
        <v>355</v>
      </c>
      <c r="AP68" s="91"/>
    </row>
    <row r="69" spans="2:42">
      <c r="B69" s="45">
        <f t="shared" si="8"/>
        <v>65</v>
      </c>
      <c r="C69" s="43">
        <v>40</v>
      </c>
      <c r="D69" s="12" t="str">
        <f>IFERROR(VLOOKUP($C69,'【入力用②】案件ごと売上（D案件以上）'!$B$4:$Y$1048576,2,FALSE),"-")</f>
        <v>三井情報</v>
      </c>
      <c r="E69" s="12" t="str">
        <f>IFERROR(VLOOKUP($C69,'【入力用②】案件ごと売上（D案件以上）'!$B$4:$Y$1048576,3,FALSE),"-")</f>
        <v>人材マネジメントアドバイザリー</v>
      </c>
      <c r="F69" s="12" t="str">
        <f>IFERROR(VLOOKUP($C69,'【入力用②】案件ごと売上（D案件以上）'!$B$4:$Y$1048576,4,FALSE),"-")</f>
        <v>40_三井情報_人材マネジメントアドバイザリー</v>
      </c>
      <c r="G69" s="12" t="str">
        <f>IFERROR(VLOOKUP($C69,'【入力用②】案件ごと売上（D案件以上）'!$B$4:$Y$1048576,5,FALSE),"-")</f>
        <v>人材育成</v>
      </c>
      <c r="H69" s="12" t="str">
        <f>IFERROR(VLOOKUP($C69,'【入力用②】案件ごと売上（D案件以上）'!$B$4:$Y$1048576,6,FALSE),"-")</f>
        <v>成立</v>
      </c>
      <c r="I69" s="13">
        <f>IFERROR(VLOOKUP($C69,'【入力用②】案件ごと売上（D案件以上）'!$B$4:$Y$1048576,8,FALSE),"-")</f>
        <v>3500</v>
      </c>
      <c r="J69" s="13">
        <f t="shared" si="7"/>
        <v>3442.5</v>
      </c>
      <c r="K69" s="57">
        <f t="shared" si="13"/>
        <v>57.5</v>
      </c>
      <c r="L69" s="13">
        <f>IFERROR(VLOOKUP($C69,'【入力用②】案件ごと売上（D案件以上）'!$B$4:$Y$1048576,11,FALSE),"-")</f>
        <v>5</v>
      </c>
      <c r="M69" s="13">
        <f t="shared" si="14"/>
        <v>700</v>
      </c>
      <c r="N69" s="43" t="s">
        <v>490</v>
      </c>
      <c r="O69" s="54"/>
      <c r="P69" s="54"/>
      <c r="Q69" s="54">
        <v>0.27</v>
      </c>
      <c r="R69" s="54">
        <v>0.27</v>
      </c>
      <c r="S69" s="54">
        <v>0.27</v>
      </c>
      <c r="T69" s="54">
        <v>0.27</v>
      </c>
      <c r="U69" s="54">
        <v>0.27</v>
      </c>
      <c r="V69" s="54"/>
      <c r="W69" s="54"/>
      <c r="X69" s="54"/>
      <c r="Y69" s="54"/>
      <c r="Z69" s="54"/>
      <c r="AA69" s="13">
        <f>IFERROR(VLOOKUP($N69,【管理用】BR_260204!$B$3:$D$20,3,FALSE)*O69,"-")</f>
        <v>0</v>
      </c>
      <c r="AB69" s="13">
        <f>IFERROR(VLOOKUP($N69,【管理用】BR_260204!$B$3:$D$20,3,FALSE)*P69,"-")</f>
        <v>0</v>
      </c>
      <c r="AC69" s="13">
        <f>IFERROR(VLOOKUP($N69,【管理用】BR_260204!$B$3:$D$20,3,FALSE)*Q69,"-")</f>
        <v>688.5</v>
      </c>
      <c r="AD69" s="13">
        <f>IFERROR(VLOOKUP($N69,【管理用】BR_260204!$B$3:$D$20,3,FALSE)*R69,"-")</f>
        <v>688.5</v>
      </c>
      <c r="AE69" s="13">
        <f>IFERROR(VLOOKUP($N69,【管理用】BR_260204!$B$3:$D$20,3,FALSE)*S69,"-")</f>
        <v>688.5</v>
      </c>
      <c r="AF69" s="13">
        <f>IFERROR(VLOOKUP($N69,【管理用】BR_260204!$B$3:$D$20,3,FALSE)*T69,"-")</f>
        <v>688.5</v>
      </c>
      <c r="AG69" s="13">
        <f>IFERROR(VLOOKUP($N69,【管理用】BR_260204!$B$3:$D$20,3,FALSE)*U69,"-")</f>
        <v>688.5</v>
      </c>
      <c r="AH69" s="13">
        <f>IFERROR(VLOOKUP($N69,【管理用】BR_260204!$B$3:$D$20,3,FALSE)*V69,"-")</f>
        <v>0</v>
      </c>
      <c r="AI69" s="13">
        <f>IFERROR(VLOOKUP($N69,【管理用】BR_260204!$B$3:$D$20,3,FALSE)*W69,"-")</f>
        <v>0</v>
      </c>
      <c r="AJ69" s="13">
        <f>IFERROR(VLOOKUP($N69,【管理用】BR_260204!$B$3:$D$20,3,FALSE)*X69,"-")</f>
        <v>0</v>
      </c>
      <c r="AK69" s="13">
        <f>IFERROR(VLOOKUP($N69,【管理用】BR_260204!$B$3:$D$20,3,FALSE)*Y69,"-")</f>
        <v>0</v>
      </c>
      <c r="AL69" s="13">
        <f>IFERROR(VLOOKUP($N69,【管理用】BR_260204!$B$3:$D$20,3,FALSE)*Z69,"-")</f>
        <v>0</v>
      </c>
      <c r="AM69" s="13">
        <f t="shared" si="15"/>
        <v>3442.5</v>
      </c>
      <c r="AN69" s="37" t="s">
        <v>355</v>
      </c>
      <c r="AP69" s="91"/>
    </row>
    <row r="70" spans="2:42">
      <c r="B70" s="45">
        <f t="shared" si="8"/>
        <v>66</v>
      </c>
      <c r="C70" s="43">
        <v>43</v>
      </c>
      <c r="D70" s="12" t="str">
        <f>IFERROR(VLOOKUP($C70,'【入力用②】案件ごと売上（D案件以上）'!$B$4:$Y$1048576,2,FALSE),"-")</f>
        <v>一条工務店</v>
      </c>
      <c r="E70" s="12" t="str">
        <f>IFERROR(VLOOKUP($C70,'【入力用②】案件ごと売上（D案件以上）'!$B$4:$Y$1048576,3,FALSE),"-")</f>
        <v>育成体系</v>
      </c>
      <c r="F70" s="12" t="str">
        <f>IFERROR(VLOOKUP($C70,'【入力用②】案件ごと売上（D案件以上）'!$B$4:$Y$1048576,4,FALSE),"-")</f>
        <v>43_一条工務店_育成体系</v>
      </c>
      <c r="G70" s="12" t="str">
        <f>IFERROR(VLOOKUP($C70,'【入力用②】案件ごと売上（D案件以上）'!$B$4:$Y$1048576,5,FALSE),"-")</f>
        <v>人材育成</v>
      </c>
      <c r="H70" s="12" t="str">
        <f>IFERROR(VLOOKUP($C70,'【入力用②】案件ごと売上（D案件以上）'!$B$4:$Y$1048576,6,FALSE),"-")</f>
        <v>失注</v>
      </c>
      <c r="I70" s="13">
        <f>IFERROR(VLOOKUP($C70,'【入力用②】案件ごと売上（D案件以上）'!$B$4:$Y$1048576,8,FALSE),"-")</f>
        <v>4000</v>
      </c>
      <c r="J70" s="13">
        <f t="shared" si="7"/>
        <v>3825</v>
      </c>
      <c r="K70" s="57">
        <f t="shared" si="3"/>
        <v>175</v>
      </c>
      <c r="L70" s="13">
        <f>IFERROR(VLOOKUP($C70,'【入力用②】案件ごと売上（D案件以上）'!$B$4:$Y$1048576,11,FALSE),"-")</f>
        <v>2</v>
      </c>
      <c r="M70" s="13">
        <f t="shared" ref="M70:M125" si="16">IFERROR(I70/L70,"-")</f>
        <v>2000</v>
      </c>
      <c r="N70" s="43" t="s">
        <v>490</v>
      </c>
      <c r="O70" s="54"/>
      <c r="P70" s="54"/>
      <c r="Q70" s="54"/>
      <c r="R70" s="54">
        <v>0.75</v>
      </c>
      <c r="S70" s="54">
        <v>0.75</v>
      </c>
      <c r="T70" s="54"/>
      <c r="U70" s="54"/>
      <c r="V70" s="54"/>
      <c r="W70" s="54"/>
      <c r="X70" s="54"/>
      <c r="Y70" s="54"/>
      <c r="Z70" s="54"/>
      <c r="AA70" s="13">
        <f>IFERROR(VLOOKUP($N70,【管理用】BR_260204!$B$3:$D$20,3,FALSE)*O70,"-")</f>
        <v>0</v>
      </c>
      <c r="AB70" s="13">
        <f>IFERROR(VLOOKUP($N70,【管理用】BR_260204!$B$3:$D$20,3,FALSE)*P70,"-")</f>
        <v>0</v>
      </c>
      <c r="AC70" s="13">
        <f>IFERROR(VLOOKUP($N70,【管理用】BR_260204!$B$3:$D$20,3,FALSE)*Q70,"-")</f>
        <v>0</v>
      </c>
      <c r="AD70" s="13">
        <f>IFERROR(VLOOKUP($N70,【管理用】BR_260204!$B$3:$D$20,3,FALSE)*R70,"-")</f>
        <v>1912.5</v>
      </c>
      <c r="AE70" s="13">
        <f>IFERROR(VLOOKUP($N70,【管理用】BR_260204!$B$3:$D$20,3,FALSE)*S70,"-")</f>
        <v>1912.5</v>
      </c>
      <c r="AF70" s="13">
        <f>IFERROR(VLOOKUP($N70,【管理用】BR_260204!$B$3:$D$20,3,FALSE)*T70,"-")</f>
        <v>0</v>
      </c>
      <c r="AG70" s="13">
        <f>IFERROR(VLOOKUP($N70,【管理用】BR_260204!$B$3:$D$20,3,FALSE)*U70,"-")</f>
        <v>0</v>
      </c>
      <c r="AH70" s="13">
        <f>IFERROR(VLOOKUP($N70,【管理用】BR_260204!$B$3:$D$20,3,FALSE)*V70,"-")</f>
        <v>0</v>
      </c>
      <c r="AI70" s="13">
        <f>IFERROR(VLOOKUP($N70,【管理用】BR_260204!$B$3:$D$20,3,FALSE)*W70,"-")</f>
        <v>0</v>
      </c>
      <c r="AJ70" s="13">
        <f>IFERROR(VLOOKUP($N70,【管理用】BR_260204!$B$3:$D$20,3,FALSE)*X70,"-")</f>
        <v>0</v>
      </c>
      <c r="AK70" s="13">
        <f>IFERROR(VLOOKUP($N70,【管理用】BR_260204!$B$3:$D$20,3,FALSE)*Y70,"-")</f>
        <v>0</v>
      </c>
      <c r="AL70" s="13">
        <f>IFERROR(VLOOKUP($N70,【管理用】BR_260204!$B$3:$D$20,3,FALSE)*Z70,"-")</f>
        <v>0</v>
      </c>
      <c r="AM70" s="13">
        <f t="shared" si="15"/>
        <v>3825</v>
      </c>
      <c r="AN70" s="37" t="s">
        <v>355</v>
      </c>
      <c r="AP70" s="91"/>
    </row>
    <row r="71" spans="2:42">
      <c r="B71" s="45">
        <f t="shared" si="8"/>
        <v>67</v>
      </c>
      <c r="C71" s="43">
        <v>41</v>
      </c>
      <c r="D71" s="12" t="str">
        <f>IFERROR(VLOOKUP($C71,'【入力用②】案件ごと売上（D案件以上）'!$B$4:$Y$1048576,2,FALSE),"-")</f>
        <v>トヨタコネクティッド</v>
      </c>
      <c r="E71" s="12" t="str">
        <f>IFERROR(VLOOKUP($C71,'【入力用②】案件ごと売上（D案件以上）'!$B$4:$Y$1048576,3,FALSE),"-")</f>
        <v>オンボーディング施策設計</v>
      </c>
      <c r="F71" s="12" t="str">
        <f>IFERROR(VLOOKUP($C71,'【入力用②】案件ごと売上（D案件以上）'!$B$4:$Y$1048576,4,FALSE),"-")</f>
        <v>41_トヨタコネクティッド_オンボーディング施策設計</v>
      </c>
      <c r="G71" s="12" t="str">
        <f>IFERROR(VLOOKUP($C71,'【入力用②】案件ごと売上（D案件以上）'!$B$4:$Y$1048576,5,FALSE),"-")</f>
        <v>組織開発</v>
      </c>
      <c r="H71" s="12" t="str">
        <f>IFERROR(VLOOKUP($C71,'【入力用②】案件ごと売上（D案件以上）'!$B$4:$Y$1048576,6,FALSE),"-")</f>
        <v>A</v>
      </c>
      <c r="I71" s="13">
        <f>IFERROR(VLOOKUP($C71,'【入力用②】案件ごと売上（D案件以上）'!$B$4:$Y$1048576,8,FALSE),"-")</f>
        <v>6000</v>
      </c>
      <c r="J71" s="13">
        <f t="shared" si="7"/>
        <v>5716</v>
      </c>
      <c r="K71" s="57">
        <f t="shared" si="3"/>
        <v>284</v>
      </c>
      <c r="L71" s="13">
        <f>IFERROR(VLOOKUP($C71,'【入力用②】案件ごと売上（D案件以上）'!$B$4:$Y$1048576,11,FALSE),"-")</f>
        <v>3</v>
      </c>
      <c r="M71" s="13">
        <f t="shared" si="16"/>
        <v>2000</v>
      </c>
      <c r="N71" s="43" t="s">
        <v>396</v>
      </c>
      <c r="O71" s="54"/>
      <c r="P71" s="54"/>
      <c r="Q71" s="54"/>
      <c r="R71" s="54"/>
      <c r="S71" s="54"/>
      <c r="T71" s="54">
        <v>0.05</v>
      </c>
      <c r="U71" s="54">
        <v>0.05</v>
      </c>
      <c r="V71" s="54"/>
      <c r="W71" s="54"/>
      <c r="X71" s="54"/>
      <c r="Y71" s="54"/>
      <c r="Z71" s="54"/>
      <c r="AA71" s="13">
        <f>IFERROR(VLOOKUP($N71,【管理用】BR_260204!$B$3:$D$20,3,FALSE)*O71,"-")</f>
        <v>0</v>
      </c>
      <c r="AB71" s="13">
        <f>IFERROR(VLOOKUP($N71,【管理用】BR_260204!$B$3:$D$20,3,FALSE)*P71,"-")</f>
        <v>0</v>
      </c>
      <c r="AC71" s="13">
        <f>IFERROR(VLOOKUP($N71,【管理用】BR_260204!$B$3:$D$20,3,FALSE)*Q71,"-")</f>
        <v>0</v>
      </c>
      <c r="AD71" s="13">
        <f>IFERROR(VLOOKUP($N71,【管理用】BR_260204!$B$3:$D$20,3,FALSE)*R71,"-")</f>
        <v>0</v>
      </c>
      <c r="AE71" s="13">
        <f>IFERROR(VLOOKUP($N71,【管理用】BR_260204!$B$3:$D$20,3,FALSE)*S71,"-")</f>
        <v>0</v>
      </c>
      <c r="AF71" s="13">
        <f>IFERROR(VLOOKUP($N71,【管理用】BR_260204!$B$3:$D$20,3,FALSE)*T71,"-")</f>
        <v>308</v>
      </c>
      <c r="AG71" s="13">
        <f>IFERROR(VLOOKUP($N71,【管理用】BR_260204!$B$3:$D$20,3,FALSE)*U71,"-")</f>
        <v>308</v>
      </c>
      <c r="AH71" s="13">
        <f>IFERROR(VLOOKUP($N71,【管理用】BR_260204!$B$3:$D$20,3,FALSE)*V71,"-")</f>
        <v>0</v>
      </c>
      <c r="AI71" s="13">
        <f>IFERROR(VLOOKUP($N71,【管理用】BR_260204!$B$3:$D$20,3,FALSE)*W71,"-")</f>
        <v>0</v>
      </c>
      <c r="AJ71" s="13">
        <f>IFERROR(VLOOKUP($N71,【管理用】BR_260204!$B$3:$D$20,3,FALSE)*X71,"-")</f>
        <v>0</v>
      </c>
      <c r="AK71" s="13">
        <f>IFERROR(VLOOKUP($N71,【管理用】BR_260204!$B$3:$D$20,3,FALSE)*Y71,"-")</f>
        <v>0</v>
      </c>
      <c r="AL71" s="13">
        <f>IFERROR(VLOOKUP($N71,【管理用】BR_260204!$B$3:$D$20,3,FALSE)*Z71,"-")</f>
        <v>0</v>
      </c>
      <c r="AM71" s="13">
        <f t="shared" si="15"/>
        <v>616</v>
      </c>
      <c r="AN71" s="37" t="s">
        <v>355</v>
      </c>
      <c r="AP71" s="91"/>
    </row>
    <row r="72" spans="2:42">
      <c r="B72" s="45">
        <f t="shared" si="8"/>
        <v>68</v>
      </c>
      <c r="C72" s="43">
        <v>41</v>
      </c>
      <c r="D72" s="12" t="str">
        <f>IFERROR(VLOOKUP($C72,'【入力用②】案件ごと売上（D案件以上）'!$B$4:$Y$1048576,2,FALSE),"-")</f>
        <v>トヨタコネクティッド</v>
      </c>
      <c r="E72" s="12" t="str">
        <f>IFERROR(VLOOKUP($C72,'【入力用②】案件ごと売上（D案件以上）'!$B$4:$Y$1048576,3,FALSE),"-")</f>
        <v>オンボーディング施策設計</v>
      </c>
      <c r="F72" s="12" t="str">
        <f>IFERROR(VLOOKUP($C72,'【入力用②】案件ごと売上（D案件以上）'!$B$4:$Y$1048576,4,FALSE),"-")</f>
        <v>41_トヨタコネクティッド_オンボーディング施策設計</v>
      </c>
      <c r="G72" s="12" t="str">
        <f>IFERROR(VLOOKUP($C72,'【入力用②】案件ごと売上（D案件以上）'!$B$4:$Y$1048576,5,FALSE),"-")</f>
        <v>組織開発</v>
      </c>
      <c r="H72" s="12" t="str">
        <f>IFERROR(VLOOKUP($C72,'【入力用②】案件ごと売上（D案件以上）'!$B$4:$Y$1048576,6,FALSE),"-")</f>
        <v>A</v>
      </c>
      <c r="I72" s="13">
        <f>IFERROR(VLOOKUP($C72,'【入力用②】案件ごと売上（D案件以上）'!$B$4:$Y$1048576,8,FALSE),"-")</f>
        <v>6000</v>
      </c>
      <c r="J72" s="13">
        <f t="shared" si="7"/>
        <v>5716</v>
      </c>
      <c r="K72" s="57">
        <f t="shared" si="3"/>
        <v>284</v>
      </c>
      <c r="L72" s="13">
        <f>IFERROR(VLOOKUP($C72,'【入力用②】案件ごと売上（D案件以上）'!$B$4:$Y$1048576,11,FALSE),"-")</f>
        <v>3</v>
      </c>
      <c r="M72" s="13">
        <f t="shared" si="16"/>
        <v>2000</v>
      </c>
      <c r="N72" s="43" t="s">
        <v>490</v>
      </c>
      <c r="O72" s="54"/>
      <c r="P72" s="54"/>
      <c r="Q72" s="54"/>
      <c r="R72" s="54"/>
      <c r="S72" s="54">
        <v>0.7</v>
      </c>
      <c r="T72" s="54">
        <v>0.65</v>
      </c>
      <c r="U72" s="54">
        <v>0.65</v>
      </c>
      <c r="V72" s="54"/>
      <c r="W72" s="54"/>
      <c r="X72" s="54"/>
      <c r="Y72" s="54"/>
      <c r="Z72" s="54"/>
      <c r="AA72" s="13">
        <f>IFERROR(VLOOKUP($N72,【管理用】BR_260204!$B$3:$D$20,3,FALSE)*O72,"-")</f>
        <v>0</v>
      </c>
      <c r="AB72" s="13">
        <f>IFERROR(VLOOKUP($N72,【管理用】BR_260204!$B$3:$D$20,3,FALSE)*P72,"-")</f>
        <v>0</v>
      </c>
      <c r="AC72" s="13">
        <f>IFERROR(VLOOKUP($N72,【管理用】BR_260204!$B$3:$D$20,3,FALSE)*Q72,"-")</f>
        <v>0</v>
      </c>
      <c r="AD72" s="13">
        <f>IFERROR(VLOOKUP($N72,【管理用】BR_260204!$B$3:$D$20,3,FALSE)*R72,"-")</f>
        <v>0</v>
      </c>
      <c r="AE72" s="13">
        <f>IFERROR(VLOOKUP($N72,【管理用】BR_260204!$B$3:$D$20,3,FALSE)*S72,"-")</f>
        <v>1785</v>
      </c>
      <c r="AF72" s="13">
        <f>IFERROR(VLOOKUP($N72,【管理用】BR_260204!$B$3:$D$20,3,FALSE)*T72,"-")</f>
        <v>1657.5</v>
      </c>
      <c r="AG72" s="13">
        <f>IFERROR(VLOOKUP($N72,【管理用】BR_260204!$B$3:$D$20,3,FALSE)*U72,"-")</f>
        <v>1657.5</v>
      </c>
      <c r="AH72" s="13">
        <f>IFERROR(VLOOKUP($N72,【管理用】BR_260204!$B$3:$D$20,3,FALSE)*V72,"-")</f>
        <v>0</v>
      </c>
      <c r="AI72" s="13">
        <f>IFERROR(VLOOKUP($N72,【管理用】BR_260204!$B$3:$D$20,3,FALSE)*W72,"-")</f>
        <v>0</v>
      </c>
      <c r="AJ72" s="13">
        <f>IFERROR(VLOOKUP($N72,【管理用】BR_260204!$B$3:$D$20,3,FALSE)*X72,"-")</f>
        <v>0</v>
      </c>
      <c r="AK72" s="13">
        <f>IFERROR(VLOOKUP($N72,【管理用】BR_260204!$B$3:$D$20,3,FALSE)*Y72,"-")</f>
        <v>0</v>
      </c>
      <c r="AL72" s="13">
        <f>IFERROR(VLOOKUP($N72,【管理用】BR_260204!$B$3:$D$20,3,FALSE)*Z72,"-")</f>
        <v>0</v>
      </c>
      <c r="AM72" s="13">
        <f t="shared" si="15"/>
        <v>5100</v>
      </c>
      <c r="AN72" s="37" t="s">
        <v>355</v>
      </c>
      <c r="AP72" s="91"/>
    </row>
    <row r="73" spans="2:42">
      <c r="B73" s="45">
        <f t="shared" si="8"/>
        <v>69</v>
      </c>
      <c r="C73" s="43">
        <v>48</v>
      </c>
      <c r="D73" s="12" t="str">
        <f>IFERROR(VLOOKUP($C73,'【入力用②】案件ごと売上（D案件以上）'!$B$4:$Y$1048576,2,FALSE),"-")</f>
        <v>アートプレスト</v>
      </c>
      <c r="E73" s="12" t="str">
        <f>IFERROR(VLOOKUP($C73,'【入力用②】案件ごと売上（D案件以上）'!$B$4:$Y$1048576,3,FALSE),"-")</f>
        <v>評価者研修（期末評価）</v>
      </c>
      <c r="F73" s="12" t="str">
        <f>IFERROR(VLOOKUP($C73,'【入力用②】案件ごと売上（D案件以上）'!$B$4:$Y$1048576,4,FALSE),"-")</f>
        <v>48_アートプレスト_評価者研修（期末評価）</v>
      </c>
      <c r="G73" s="12" t="str">
        <f>IFERROR(VLOOKUP($C73,'【入力用②】案件ごと売上（D案件以上）'!$B$4:$Y$1048576,5,FALSE),"-")</f>
        <v>人材育成</v>
      </c>
      <c r="H73" s="12" t="str">
        <f>IFERROR(VLOOKUP($C73,'【入力用②】案件ごと売上（D案件以上）'!$B$4:$Y$1048576,6,FALSE),"-")</f>
        <v>成立</v>
      </c>
      <c r="I73" s="13">
        <f>IFERROR(VLOOKUP($C73,'【入力用②】案件ごと売上（D案件以上）'!$B$4:$Y$1048576,8,FALSE),"-")</f>
        <v>100</v>
      </c>
      <c r="J73" s="13">
        <f t="shared" si="7"/>
        <v>100.35</v>
      </c>
      <c r="K73" s="57">
        <f t="shared" si="3"/>
        <v>-0.34999999999999432</v>
      </c>
      <c r="L73" s="13">
        <f>IFERROR(VLOOKUP($C73,'【入力用②】案件ごと売上（D案件以上）'!$B$4:$Y$1048576,11,FALSE),"-")</f>
        <v>1</v>
      </c>
      <c r="M73" s="13">
        <f t="shared" si="16"/>
        <v>100</v>
      </c>
      <c r="N73" s="43" t="s">
        <v>486</v>
      </c>
      <c r="O73" s="54"/>
      <c r="P73" s="54"/>
      <c r="Q73" s="54"/>
      <c r="R73" s="54"/>
      <c r="S73" s="54"/>
      <c r="T73" s="54">
        <v>4.4999999999999998E-2</v>
      </c>
      <c r="U73" s="54"/>
      <c r="V73" s="54"/>
      <c r="W73" s="54"/>
      <c r="X73" s="54"/>
      <c r="Y73" s="54"/>
      <c r="Z73" s="54"/>
      <c r="AA73" s="13">
        <f>IFERROR(VLOOKUP($N73,【管理用】BR_260204!$B$3:$D$20,3,FALSE)*O73,"-")</f>
        <v>0</v>
      </c>
      <c r="AB73" s="13">
        <f>IFERROR(VLOOKUP($N73,【管理用】BR_260204!$B$3:$D$20,3,FALSE)*P73,"-")</f>
        <v>0</v>
      </c>
      <c r="AC73" s="13">
        <f>IFERROR(VLOOKUP($N73,【管理用】BR_260204!$B$3:$D$20,3,FALSE)*Q73,"-")</f>
        <v>0</v>
      </c>
      <c r="AD73" s="13">
        <f>IFERROR(VLOOKUP($N73,【管理用】BR_260204!$B$3:$D$20,3,FALSE)*R73,"-")</f>
        <v>0</v>
      </c>
      <c r="AE73" s="13">
        <f>IFERROR(VLOOKUP($N73,【管理用】BR_260204!$B$3:$D$20,3,FALSE)*S73,"-")</f>
        <v>0</v>
      </c>
      <c r="AF73" s="13">
        <f>IFERROR(VLOOKUP($N73,【管理用】BR_260204!$B$3:$D$20,3,FALSE)*T73,"-")</f>
        <v>100.35</v>
      </c>
      <c r="AG73" s="13">
        <f>IFERROR(VLOOKUP($N73,【管理用】BR_260204!$B$3:$D$20,3,FALSE)*U73,"-")</f>
        <v>0</v>
      </c>
      <c r="AH73" s="13">
        <f>IFERROR(VLOOKUP($N73,【管理用】BR_260204!$B$3:$D$20,3,FALSE)*V73,"-")</f>
        <v>0</v>
      </c>
      <c r="AI73" s="13">
        <f>IFERROR(VLOOKUP($N73,【管理用】BR_260204!$B$3:$D$20,3,FALSE)*W73,"-")</f>
        <v>0</v>
      </c>
      <c r="AJ73" s="13">
        <f>IFERROR(VLOOKUP($N73,【管理用】BR_260204!$B$3:$D$20,3,FALSE)*X73,"-")</f>
        <v>0</v>
      </c>
      <c r="AK73" s="13">
        <f>IFERROR(VLOOKUP($N73,【管理用】BR_260204!$B$3:$D$20,3,FALSE)*Y73,"-")</f>
        <v>0</v>
      </c>
      <c r="AL73" s="13">
        <f>IFERROR(VLOOKUP($N73,【管理用】BR_260204!$B$3:$D$20,3,FALSE)*Z73,"-")</f>
        <v>0</v>
      </c>
      <c r="AM73" s="13">
        <f t="shared" si="15"/>
        <v>100.35</v>
      </c>
      <c r="AN73" s="37" t="s">
        <v>355</v>
      </c>
      <c r="AP73" s="91"/>
    </row>
    <row r="74" spans="2:42">
      <c r="B74" s="45">
        <f t="shared" si="8"/>
        <v>70</v>
      </c>
      <c r="C74" s="43">
        <v>49</v>
      </c>
      <c r="D74" s="12" t="str">
        <f>IFERROR(VLOOKUP($C74,'【入力用②】案件ごと売上（D案件以上）'!$B$4:$Y$1048576,2,FALSE),"-")</f>
        <v>アートプレスト</v>
      </c>
      <c r="E74" s="12" t="str">
        <f>IFERROR(VLOOKUP($C74,'【入力用②】案件ごと売上（D案件以上）'!$B$4:$Y$1048576,3,FALSE),"-")</f>
        <v>2026年上期人事施策実行支援</v>
      </c>
      <c r="F74" s="12" t="str">
        <f>IFERROR(VLOOKUP($C74,'【入力用②】案件ごと売上（D案件以上）'!$B$4:$Y$1048576,4,FALSE),"-")</f>
        <v>49_アートプレスト_2026年上期人事施策実行支援</v>
      </c>
      <c r="G74" s="12" t="str">
        <f>IFERROR(VLOOKUP($C74,'【入力用②】案件ごと売上（D案件以上）'!$B$4:$Y$1048576,5,FALSE),"-")</f>
        <v>その他</v>
      </c>
      <c r="H74" s="12" t="str">
        <f>IFERROR(VLOOKUP($C74,'【入力用②】案件ごと売上（D案件以上）'!$B$4:$Y$1048576,6,FALSE),"-")</f>
        <v>D</v>
      </c>
      <c r="I74" s="13">
        <f>IFERROR(VLOOKUP($C74,'【入力用②】案件ごと売上（D案件以上）'!$B$4:$Y$1048576,8,FALSE),"-")</f>
        <v>25000</v>
      </c>
      <c r="J74" s="13">
        <f t="shared" ref="J74:J105" si="17">SUMIF($C$5:$C$1048576,C74,$AM$5:$AM$1048576)</f>
        <v>24998.3</v>
      </c>
      <c r="K74" s="57">
        <f t="shared" si="3"/>
        <v>1.7000000000007276</v>
      </c>
      <c r="L74" s="13">
        <f>IFERROR(VLOOKUP($C74,'【入力用②】案件ごと売上（D案件以上）'!$B$4:$Y$1048576,11,FALSE),"-")</f>
        <v>5</v>
      </c>
      <c r="M74" s="13">
        <f t="shared" si="16"/>
        <v>5000</v>
      </c>
      <c r="N74" s="43" t="s">
        <v>486</v>
      </c>
      <c r="O74" s="54"/>
      <c r="P74" s="54"/>
      <c r="Q74" s="54"/>
      <c r="R74" s="54"/>
      <c r="S74" s="54"/>
      <c r="T74" s="54"/>
      <c r="U74" s="54"/>
      <c r="V74" s="54">
        <v>2.242</v>
      </c>
      <c r="W74" s="54">
        <v>2.242</v>
      </c>
      <c r="X74" s="54">
        <v>2.242</v>
      </c>
      <c r="Y74" s="54">
        <v>2.242</v>
      </c>
      <c r="Z74" s="54">
        <v>2.242</v>
      </c>
      <c r="AA74" s="13">
        <f>IFERROR(VLOOKUP($N74,【管理用】BR_260204!$B$3:$D$20,3,FALSE)*O74,"-")</f>
        <v>0</v>
      </c>
      <c r="AB74" s="13">
        <f>IFERROR(VLOOKUP($N74,【管理用】BR_260204!$B$3:$D$20,3,FALSE)*P74,"-")</f>
        <v>0</v>
      </c>
      <c r="AC74" s="13">
        <f>IFERROR(VLOOKUP($N74,【管理用】BR_260204!$B$3:$D$20,3,FALSE)*Q74,"-")</f>
        <v>0</v>
      </c>
      <c r="AD74" s="13">
        <f>IFERROR(VLOOKUP($N74,【管理用】BR_260204!$B$3:$D$20,3,FALSE)*R74,"-")</f>
        <v>0</v>
      </c>
      <c r="AE74" s="13">
        <f>IFERROR(VLOOKUP($N74,【管理用】BR_260204!$B$3:$D$20,3,FALSE)*S74,"-")</f>
        <v>0</v>
      </c>
      <c r="AF74" s="13">
        <f>IFERROR(VLOOKUP($N74,【管理用】BR_260204!$B$3:$D$20,3,FALSE)*T74,"-")</f>
        <v>0</v>
      </c>
      <c r="AG74" s="13">
        <f>IFERROR(VLOOKUP($N74,【管理用】BR_260204!$B$3:$D$20,3,FALSE)*U74,"-")</f>
        <v>0</v>
      </c>
      <c r="AH74" s="13">
        <f>IFERROR(VLOOKUP($N74,【管理用】BR_260204!$B$3:$D$20,3,FALSE)*V74,"-")</f>
        <v>4999.66</v>
      </c>
      <c r="AI74" s="13">
        <f>IFERROR(VLOOKUP($N74,【管理用】BR_260204!$B$3:$D$20,3,FALSE)*W74,"-")</f>
        <v>4999.66</v>
      </c>
      <c r="AJ74" s="13">
        <f>IFERROR(VLOOKUP($N74,【管理用】BR_260204!$B$3:$D$20,3,FALSE)*X74,"-")</f>
        <v>4999.66</v>
      </c>
      <c r="AK74" s="13">
        <f>IFERROR(VLOOKUP($N74,【管理用】BR_260204!$B$3:$D$20,3,FALSE)*Y74,"-")</f>
        <v>4999.66</v>
      </c>
      <c r="AL74" s="13">
        <f>IFERROR(VLOOKUP($N74,【管理用】BR_260204!$B$3:$D$20,3,FALSE)*Z74,"-")</f>
        <v>4999.66</v>
      </c>
      <c r="AM74" s="13">
        <f t="shared" si="15"/>
        <v>24998.3</v>
      </c>
      <c r="AN74" s="37" t="s">
        <v>355</v>
      </c>
      <c r="AP74" s="91"/>
    </row>
    <row r="75" spans="2:42">
      <c r="B75" s="45">
        <f t="shared" si="8"/>
        <v>71</v>
      </c>
      <c r="C75" s="43">
        <v>11</v>
      </c>
      <c r="D75" s="12" t="str">
        <f>IFERROR(VLOOKUP($C75,'【入力用②】案件ごと売上（D案件以上）'!$B$4:$Y$1048576,2,FALSE),"-")</f>
        <v>MSプライマリー</v>
      </c>
      <c r="E75" s="12" t="str">
        <f>IFERROR(VLOOKUP($C75,'【入力用②】案件ごと売上（D案件以上）'!$B$4:$Y$1048576,3,FALSE),"-")</f>
        <v>エンゲージメントサーベイ</v>
      </c>
      <c r="F75" s="12" t="str">
        <f>IFERROR(VLOOKUP($C75,'【入力用②】案件ごと売上（D案件以上）'!$B$4:$Y$1048576,4,FALSE),"-")</f>
        <v>11_MSプライマリー_エンゲージメントサーベイ</v>
      </c>
      <c r="G75" s="12" t="str">
        <f>IFERROR(VLOOKUP($C75,'【入力用②】案件ごと売上（D案件以上）'!$B$4:$Y$1048576,5,FALSE),"-")</f>
        <v>その他</v>
      </c>
      <c r="H75" s="12" t="str">
        <f>IFERROR(VLOOKUP($C75,'【入力用②】案件ごと売上（D案件以上）'!$B$4:$Y$1048576,6,FALSE),"-")</f>
        <v>A</v>
      </c>
      <c r="I75" s="13">
        <f>IFERROR(VLOOKUP($C75,'【入力用②】案件ごと売上（D案件以上）'!$B$4:$Y$1048576,8,FALSE),"-")</f>
        <v>7000</v>
      </c>
      <c r="J75" s="13">
        <f t="shared" si="17"/>
        <v>6999.6</v>
      </c>
      <c r="K75" s="57">
        <f t="shared" si="3"/>
        <v>0.3999999999996362</v>
      </c>
      <c r="L75" s="13">
        <f>IFERROR(VLOOKUP($C75,'【入力用②】案件ごと売上（D案件以上）'!$B$4:$Y$1048576,11,FALSE),"-")</f>
        <v>4</v>
      </c>
      <c r="M75" s="13">
        <f t="shared" si="16"/>
        <v>1750</v>
      </c>
      <c r="N75" s="43" t="s">
        <v>492</v>
      </c>
      <c r="O75" s="54"/>
      <c r="P75" s="54"/>
      <c r="Q75" s="54"/>
      <c r="R75" s="54">
        <v>0.05</v>
      </c>
      <c r="S75" s="54"/>
      <c r="T75" s="54"/>
      <c r="U75" s="54"/>
      <c r="V75" s="54"/>
      <c r="W75" s="54"/>
      <c r="X75" s="54"/>
      <c r="Y75" s="54"/>
      <c r="Z75" s="54"/>
      <c r="AA75" s="13">
        <f>IFERROR(VLOOKUP($N75,【管理用】BR_260204!$B$3:$D$20,3,FALSE)*O75,"-")</f>
        <v>0</v>
      </c>
      <c r="AB75" s="13">
        <f>IFERROR(VLOOKUP($N75,【管理用】BR_260204!$B$3:$D$20,3,FALSE)*P75,"-")</f>
        <v>0</v>
      </c>
      <c r="AC75" s="13">
        <f>IFERROR(VLOOKUP($N75,【管理用】BR_260204!$B$3:$D$20,3,FALSE)*Q75,"-")</f>
        <v>0</v>
      </c>
      <c r="AD75" s="13">
        <f>IFERROR(VLOOKUP($N75,【管理用】BR_260204!$B$3:$D$20,3,FALSE)*R75,"-")</f>
        <v>87.5</v>
      </c>
      <c r="AE75" s="13">
        <f>IFERROR(VLOOKUP($N75,【管理用】BR_260204!$B$3:$D$20,3,FALSE)*S75,"-")</f>
        <v>0</v>
      </c>
      <c r="AF75" s="13">
        <f>IFERROR(VLOOKUP($N75,【管理用】BR_260204!$B$3:$D$20,3,FALSE)*T75,"-")</f>
        <v>0</v>
      </c>
      <c r="AG75" s="13">
        <f>IFERROR(VLOOKUP($N75,【管理用】BR_260204!$B$3:$D$20,3,FALSE)*U75,"-")</f>
        <v>0</v>
      </c>
      <c r="AH75" s="13">
        <f>IFERROR(VLOOKUP($N75,【管理用】BR_260204!$B$3:$D$20,3,FALSE)*V75,"-")</f>
        <v>0</v>
      </c>
      <c r="AI75" s="13">
        <f>IFERROR(VLOOKUP($N75,【管理用】BR_260204!$B$3:$D$20,3,FALSE)*W75,"-")</f>
        <v>0</v>
      </c>
      <c r="AJ75" s="13">
        <f>IFERROR(VLOOKUP($N75,【管理用】BR_260204!$B$3:$D$20,3,FALSE)*X75,"-")</f>
        <v>0</v>
      </c>
      <c r="AK75" s="13">
        <f>IFERROR(VLOOKUP($N75,【管理用】BR_260204!$B$3:$D$20,3,FALSE)*Y75,"-")</f>
        <v>0</v>
      </c>
      <c r="AL75" s="13">
        <f>IFERROR(VLOOKUP($N75,【管理用】BR_260204!$B$3:$D$20,3,FALSE)*Z75,"-")</f>
        <v>0</v>
      </c>
      <c r="AM75" s="13">
        <f t="shared" si="15"/>
        <v>87.5</v>
      </c>
      <c r="AN75" s="37" t="s">
        <v>355</v>
      </c>
      <c r="AP75" s="91"/>
    </row>
    <row r="76" spans="2:42">
      <c r="B76" s="45">
        <f t="shared" ref="B76:B110" si="18">ROW(A76)-4</f>
        <v>72</v>
      </c>
      <c r="C76" s="43">
        <v>50</v>
      </c>
      <c r="D76" s="12" t="str">
        <f>IFERROR(VLOOKUP($C76,'【入力用②】案件ごと売上（D案件以上）'!$B$4:$Y$1048576,2,FALSE),"-")</f>
        <v>宮﨑精鋼</v>
      </c>
      <c r="E76" s="12" t="str">
        <f>IFERROR(VLOOKUP($C76,'【入力用②】案件ごと売上（D案件以上）'!$B$4:$Y$1048576,3,FALSE),"-")</f>
        <v>部課長FB</v>
      </c>
      <c r="F76" s="12" t="str">
        <f>IFERROR(VLOOKUP($C76,'【入力用②】案件ごと売上（D案件以上）'!$B$4:$Y$1048576,4,FALSE),"-")</f>
        <v>50_宮﨑精鋼_部課長FB</v>
      </c>
      <c r="G76" s="12" t="str">
        <f>IFERROR(VLOOKUP($C76,'【入力用②】案件ごと売上（D案件以上）'!$B$4:$Y$1048576,5,FALSE),"-")</f>
        <v>HRアナリティクス</v>
      </c>
      <c r="H76" s="12" t="str">
        <f>IFERROR(VLOOKUP($C76,'【入力用②】案件ごと売上（D案件以上）'!$B$4:$Y$1048576,6,FALSE),"-")</f>
        <v>成立</v>
      </c>
      <c r="I76" s="13">
        <f>IFERROR(VLOOKUP($C76,'【入力用②】案件ごと売上（D案件以上）'!$B$4:$Y$1048576,8,FALSE),"-")</f>
        <v>100</v>
      </c>
      <c r="J76" s="13">
        <f t="shared" si="17"/>
        <v>99</v>
      </c>
      <c r="K76" s="57">
        <f t="shared" ref="K76:K142" si="19">IFERROR(I76-J76,"-")</f>
        <v>1</v>
      </c>
      <c r="L76" s="13">
        <f>IFERROR(VLOOKUP($C76,'【入力用②】案件ごと売上（D案件以上）'!$B$4:$Y$1048576,11,FALSE),"-")</f>
        <v>0.5</v>
      </c>
      <c r="M76" s="13">
        <f t="shared" si="16"/>
        <v>200</v>
      </c>
      <c r="N76" s="43" t="s">
        <v>187</v>
      </c>
      <c r="O76" s="54"/>
      <c r="P76" s="54"/>
      <c r="Q76" s="54"/>
      <c r="R76" s="54">
        <v>4.4999999999999998E-2</v>
      </c>
      <c r="S76" s="54"/>
      <c r="T76" s="54"/>
      <c r="U76" s="54"/>
      <c r="V76" s="54"/>
      <c r="W76" s="54"/>
      <c r="X76" s="54"/>
      <c r="Y76" s="54"/>
      <c r="Z76" s="54"/>
      <c r="AA76" s="13">
        <f>IFERROR(VLOOKUP($N76,【管理用】BR_260204!$B$3:$D$20,3,FALSE)*O76,"-")</f>
        <v>0</v>
      </c>
      <c r="AB76" s="13">
        <f>IFERROR(VLOOKUP($N76,【管理用】BR_260204!$B$3:$D$20,3,FALSE)*P76,"-")</f>
        <v>0</v>
      </c>
      <c r="AC76" s="13">
        <f>IFERROR(VLOOKUP($N76,【管理用】BR_260204!$B$3:$D$20,3,FALSE)*Q76,"-")</f>
        <v>0</v>
      </c>
      <c r="AD76" s="13">
        <f>IFERROR(VLOOKUP($N76,【管理用】BR_260204!$B$3:$D$20,3,FALSE)*R76,"-")</f>
        <v>99</v>
      </c>
      <c r="AE76" s="13">
        <f>IFERROR(VLOOKUP($N76,【管理用】BR_260204!$B$3:$D$20,3,FALSE)*S76,"-")</f>
        <v>0</v>
      </c>
      <c r="AF76" s="13">
        <f>IFERROR(VLOOKUP($N76,【管理用】BR_260204!$B$3:$D$20,3,FALSE)*T76,"-")</f>
        <v>0</v>
      </c>
      <c r="AG76" s="13">
        <f>IFERROR(VLOOKUP($N76,【管理用】BR_260204!$B$3:$D$20,3,FALSE)*U76,"-")</f>
        <v>0</v>
      </c>
      <c r="AH76" s="13">
        <f>IFERROR(VLOOKUP($N76,【管理用】BR_260204!$B$3:$D$20,3,FALSE)*V76,"-")</f>
        <v>0</v>
      </c>
      <c r="AI76" s="13">
        <f>IFERROR(VLOOKUP($N76,【管理用】BR_260204!$B$3:$D$20,3,FALSE)*W76,"-")</f>
        <v>0</v>
      </c>
      <c r="AJ76" s="13">
        <f>IFERROR(VLOOKUP($N76,【管理用】BR_260204!$B$3:$D$20,3,FALSE)*X76,"-")</f>
        <v>0</v>
      </c>
      <c r="AK76" s="13">
        <f>IFERROR(VLOOKUP($N76,【管理用】BR_260204!$B$3:$D$20,3,FALSE)*Y76,"-")</f>
        <v>0</v>
      </c>
      <c r="AL76" s="13">
        <f>IFERROR(VLOOKUP($N76,【管理用】BR_260204!$B$3:$D$20,3,FALSE)*Z76,"-")</f>
        <v>0</v>
      </c>
      <c r="AM76" s="13">
        <f t="shared" si="15"/>
        <v>99</v>
      </c>
      <c r="AN76" s="37" t="s">
        <v>355</v>
      </c>
      <c r="AP76" s="91"/>
    </row>
    <row r="77" spans="2:42">
      <c r="B77" s="45">
        <f t="shared" si="18"/>
        <v>73</v>
      </c>
      <c r="C77" s="43">
        <v>53</v>
      </c>
      <c r="D77" s="12" t="str">
        <f>IFERROR(VLOOKUP($C77,'【入力用②】案件ごと売上（D案件以上）'!$B$4:$Y$1048576,2,FALSE),"-")</f>
        <v>YAMAGATA</v>
      </c>
      <c r="E77" s="12" t="str">
        <f>IFERROR(VLOOKUP($C77,'【入力用②】案件ごと売上（D案件以上）'!$B$4:$Y$1048576,3,FALSE),"-")</f>
        <v>S1および制作部門変革支援（フェーズ4）</v>
      </c>
      <c r="F77" s="12" t="str">
        <f>IFERROR(VLOOKUP($C77,'【入力用②】案件ごと売上（D案件以上）'!$B$4:$Y$1048576,4,FALSE),"-")</f>
        <v>053_YAMAGATA_S1および制作部門変革支援（フェーズ4）</v>
      </c>
      <c r="G77" s="12" t="str">
        <f>IFERROR(VLOOKUP($C77,'【入力用②】案件ごと売上（D案件以上）'!$B$4:$Y$1048576,5,FALSE),"-")</f>
        <v>その他</v>
      </c>
      <c r="H77" s="12" t="str">
        <f>IFERROR(VLOOKUP($C77,'【入力用②】案件ごと売上（D案件以上）'!$B$4:$Y$1048576,6,FALSE),"-")</f>
        <v>成立</v>
      </c>
      <c r="I77" s="13">
        <f>IFERROR(VLOOKUP($C77,'【入力用②】案件ごと売上（D案件以上）'!$B$4:$Y$1048576,8,FALSE),"-")</f>
        <v>33000</v>
      </c>
      <c r="J77" s="13">
        <f t="shared" si="17"/>
        <v>29477.599999999999</v>
      </c>
      <c r="K77" s="57">
        <f t="shared" si="19"/>
        <v>3522.4000000000015</v>
      </c>
      <c r="L77" s="13">
        <f>IFERROR(VLOOKUP($C77,'【入力用②】案件ごと売上（D案件以上）'!$B$4:$Y$1048576,11,FALSE),"-")</f>
        <v>6</v>
      </c>
      <c r="M77" s="13">
        <f t="shared" si="16"/>
        <v>5500</v>
      </c>
      <c r="N77" s="43" t="s">
        <v>311</v>
      </c>
      <c r="O77" s="54"/>
      <c r="P77" s="54"/>
      <c r="Q77" s="54"/>
      <c r="R77" s="54"/>
      <c r="S77" s="54">
        <v>0.06</v>
      </c>
      <c r="T77" s="54">
        <v>0.2</v>
      </c>
      <c r="U77" s="54">
        <v>0.2</v>
      </c>
      <c r="V77" s="54">
        <v>0.2</v>
      </c>
      <c r="W77" s="54">
        <v>0.2</v>
      </c>
      <c r="X77" s="54">
        <v>0.2</v>
      </c>
      <c r="Y77" s="54">
        <v>0.2</v>
      </c>
      <c r="Z77" s="54"/>
      <c r="AA77" s="13">
        <f>IFERROR(VLOOKUP($N77,【管理用】BR_260204!$B$3:$D$20,3,FALSE)*O77,"-")</f>
        <v>0</v>
      </c>
      <c r="AB77" s="13">
        <f>IFERROR(VLOOKUP($N77,【管理用】BR_260204!$B$3:$D$20,3,FALSE)*P77,"-")</f>
        <v>0</v>
      </c>
      <c r="AC77" s="13">
        <f>IFERROR(VLOOKUP($N77,【管理用】BR_260204!$B$3:$D$20,3,FALSE)*Q77,"-")</f>
        <v>0</v>
      </c>
      <c r="AD77" s="13">
        <f>IFERROR(VLOOKUP($N77,【管理用】BR_260204!$B$3:$D$20,3,FALSE)*R77,"-")</f>
        <v>0</v>
      </c>
      <c r="AE77" s="13">
        <f>IFERROR(VLOOKUP($N77,【管理用】BR_260204!$B$3:$D$20,3,FALSE)*S77,"-")</f>
        <v>510</v>
      </c>
      <c r="AF77" s="13">
        <f>IFERROR(VLOOKUP($N77,【管理用】BR_260204!$B$3:$D$20,3,FALSE)*T77,"-")</f>
        <v>1700</v>
      </c>
      <c r="AG77" s="13">
        <f>IFERROR(VLOOKUP($N77,【管理用】BR_260204!$B$3:$D$20,3,FALSE)*U77,"-")</f>
        <v>1700</v>
      </c>
      <c r="AH77" s="13">
        <f>IFERROR(VLOOKUP($N77,【管理用】BR_260204!$B$3:$D$20,3,FALSE)*V77,"-")</f>
        <v>1700</v>
      </c>
      <c r="AI77" s="13">
        <f>IFERROR(VLOOKUP($N77,【管理用】BR_260204!$B$3:$D$20,3,FALSE)*W77,"-")</f>
        <v>1700</v>
      </c>
      <c r="AJ77" s="13">
        <f>IFERROR(VLOOKUP($N77,【管理用】BR_260204!$B$3:$D$20,3,FALSE)*X77,"-")</f>
        <v>1700</v>
      </c>
      <c r="AK77" s="13">
        <f>IFERROR(VLOOKUP($N77,【管理用】BR_260204!$B$3:$D$20,3,FALSE)*Y77,"-")</f>
        <v>1700</v>
      </c>
      <c r="AL77" s="13">
        <f>IFERROR(VLOOKUP($N77,【管理用】BR_260204!$B$3:$D$20,3,FALSE)*Z77,"-")</f>
        <v>0</v>
      </c>
      <c r="AM77" s="13">
        <f t="shared" si="15"/>
        <v>10710</v>
      </c>
      <c r="AN77" s="37" t="s">
        <v>355</v>
      </c>
      <c r="AP77" s="91"/>
    </row>
    <row r="78" spans="2:42">
      <c r="B78" s="45">
        <f t="shared" si="18"/>
        <v>74</v>
      </c>
      <c r="C78" s="43">
        <v>53</v>
      </c>
      <c r="D78" s="12" t="str">
        <f>IFERROR(VLOOKUP($C78,'【入力用②】案件ごと売上（D案件以上）'!$B$4:$Y$1048576,2,FALSE),"-")</f>
        <v>YAMAGATA</v>
      </c>
      <c r="E78" s="12" t="str">
        <f>IFERROR(VLOOKUP($C78,'【入力用②】案件ごと売上（D案件以上）'!$B$4:$Y$1048576,3,FALSE),"-")</f>
        <v>S1および制作部門変革支援（フェーズ4）</v>
      </c>
      <c r="F78" s="12" t="str">
        <f>IFERROR(VLOOKUP($C78,'【入力用②】案件ごと売上（D案件以上）'!$B$4:$Y$1048576,4,FALSE),"-")</f>
        <v>053_YAMAGATA_S1および制作部門変革支援（フェーズ4）</v>
      </c>
      <c r="G78" s="12" t="str">
        <f>IFERROR(VLOOKUP($C78,'【入力用②】案件ごと売上（D案件以上）'!$B$4:$Y$1048576,5,FALSE),"-")</f>
        <v>その他</v>
      </c>
      <c r="H78" s="12" t="str">
        <f>IFERROR(VLOOKUP($C78,'【入力用②】案件ごと売上（D案件以上）'!$B$4:$Y$1048576,6,FALSE),"-")</f>
        <v>成立</v>
      </c>
      <c r="I78" s="13">
        <f>IFERROR(VLOOKUP($C78,'【入力用②】案件ごと売上（D案件以上）'!$B$4:$Y$1048576,8,FALSE),"-")</f>
        <v>33000</v>
      </c>
      <c r="J78" s="13">
        <f t="shared" si="17"/>
        <v>29477.599999999999</v>
      </c>
      <c r="K78" s="57">
        <f>IFERROR(I78-J78,"-")</f>
        <v>3522.4000000000015</v>
      </c>
      <c r="L78" s="13">
        <f>IFERROR(VLOOKUP($C78,'【入力用②】案件ごと売上（D案件以上）'!$B$4:$Y$1048576,11,FALSE),"-")</f>
        <v>6</v>
      </c>
      <c r="M78" s="13">
        <f>IFERROR(I78/L78,"-")</f>
        <v>5500</v>
      </c>
      <c r="N78" s="43" t="s">
        <v>271</v>
      </c>
      <c r="O78" s="54"/>
      <c r="P78" s="54"/>
      <c r="Q78" s="54"/>
      <c r="R78" s="54"/>
      <c r="S78" s="54">
        <v>0.12</v>
      </c>
      <c r="T78" s="54">
        <v>0.4</v>
      </c>
      <c r="U78" s="54">
        <v>0.4</v>
      </c>
      <c r="V78" s="54">
        <v>0.4</v>
      </c>
      <c r="W78" s="54">
        <v>0.4</v>
      </c>
      <c r="X78" s="54">
        <v>0.4</v>
      </c>
      <c r="Y78" s="54">
        <v>0.4</v>
      </c>
      <c r="Z78" s="54"/>
      <c r="AA78" s="13">
        <f>IFERROR(VLOOKUP($N78,【管理用】BR_260204!$B$3:$D$20,3,FALSE)*O78,"-")</f>
        <v>0</v>
      </c>
      <c r="AB78" s="13">
        <f>IFERROR(VLOOKUP($N78,【管理用】BR_260204!$B$3:$D$20,3,FALSE)*P78,"-")</f>
        <v>0</v>
      </c>
      <c r="AC78" s="13">
        <f>IFERROR(VLOOKUP($N78,【管理用】BR_260204!$B$3:$D$20,3,FALSE)*Q78,"-")</f>
        <v>0</v>
      </c>
      <c r="AD78" s="13">
        <f>IFERROR(VLOOKUP($N78,【管理用】BR_260204!$B$3:$D$20,3,FALSE)*R78,"-")</f>
        <v>0</v>
      </c>
      <c r="AE78" s="13">
        <f>IFERROR(VLOOKUP($N78,【管理用】BR_260204!$B$3:$D$20,3,FALSE)*S78,"-")</f>
        <v>225.6</v>
      </c>
      <c r="AF78" s="13">
        <f>IFERROR(VLOOKUP($N78,【管理用】BR_260204!$B$3:$D$20,3,FALSE)*T78,"-")</f>
        <v>752</v>
      </c>
      <c r="AG78" s="13">
        <f>IFERROR(VLOOKUP($N78,【管理用】BR_260204!$B$3:$D$20,3,FALSE)*U78,"-")</f>
        <v>752</v>
      </c>
      <c r="AH78" s="13">
        <f>IFERROR(VLOOKUP($N78,【管理用】BR_260204!$B$3:$D$20,3,FALSE)*V78,"-")</f>
        <v>752</v>
      </c>
      <c r="AI78" s="13">
        <f>IFERROR(VLOOKUP($N78,【管理用】BR_260204!$B$3:$D$20,3,FALSE)*W78,"-")</f>
        <v>752</v>
      </c>
      <c r="AJ78" s="13">
        <f>IFERROR(VLOOKUP($N78,【管理用】BR_260204!$B$3:$D$20,3,FALSE)*X78,"-")</f>
        <v>752</v>
      </c>
      <c r="AK78" s="13">
        <f>IFERROR(VLOOKUP($N78,【管理用】BR_260204!$B$3:$D$20,3,FALSE)*Y78,"-")</f>
        <v>752</v>
      </c>
      <c r="AL78" s="13">
        <f>IFERROR(VLOOKUP($N78,【管理用】BR_260204!$B$3:$D$20,3,FALSE)*Z78,"-")</f>
        <v>0</v>
      </c>
      <c r="AM78" s="13">
        <f t="shared" si="15"/>
        <v>4737.6000000000004</v>
      </c>
      <c r="AN78" s="37" t="s">
        <v>355</v>
      </c>
      <c r="AP78" s="91"/>
    </row>
    <row r="79" spans="2:42">
      <c r="B79" s="45">
        <f t="shared" si="18"/>
        <v>75</v>
      </c>
      <c r="C79" s="43">
        <v>53</v>
      </c>
      <c r="D79" s="12" t="str">
        <f>IFERROR(VLOOKUP($C79,'【入力用②】案件ごと売上（D案件以上）'!$B$4:$Y$1048576,2,FALSE),"-")</f>
        <v>YAMAGATA</v>
      </c>
      <c r="E79" s="12" t="str">
        <f>IFERROR(VLOOKUP($C79,'【入力用②】案件ごと売上（D案件以上）'!$B$4:$Y$1048576,3,FALSE),"-")</f>
        <v>S1および制作部門変革支援（フェーズ4）</v>
      </c>
      <c r="F79" s="12" t="str">
        <f>IFERROR(VLOOKUP($C79,'【入力用②】案件ごと売上（D案件以上）'!$B$4:$Y$1048576,4,FALSE),"-")</f>
        <v>053_YAMAGATA_S1および制作部門変革支援（フェーズ4）</v>
      </c>
      <c r="G79" s="12" t="str">
        <f>IFERROR(VLOOKUP($C79,'【入力用②】案件ごと売上（D案件以上）'!$B$4:$Y$1048576,5,FALSE),"-")</f>
        <v>その他</v>
      </c>
      <c r="H79" s="12" t="str">
        <f>IFERROR(VLOOKUP($C79,'【入力用②】案件ごと売上（D案件以上）'!$B$4:$Y$1048576,6,FALSE),"-")</f>
        <v>成立</v>
      </c>
      <c r="I79" s="13">
        <f>IFERROR(VLOOKUP($C79,'【入力用②】案件ごと売上（D案件以上）'!$B$4:$Y$1048576,8,FALSE),"-")</f>
        <v>33000</v>
      </c>
      <c r="J79" s="13">
        <f t="shared" si="17"/>
        <v>29477.599999999999</v>
      </c>
      <c r="K79" s="57">
        <f>IFERROR(I79-J79,"-")</f>
        <v>3522.4000000000015</v>
      </c>
      <c r="L79" s="13">
        <f>IFERROR(VLOOKUP($C79,'【入力用②】案件ごと売上（D案件以上）'!$B$4:$Y$1048576,11,FALSE),"-")</f>
        <v>6</v>
      </c>
      <c r="M79" s="13">
        <f>IFERROR(I79/L79,"-")</f>
        <v>5500</v>
      </c>
      <c r="N79" s="43" t="s">
        <v>493</v>
      </c>
      <c r="O79" s="54"/>
      <c r="P79" s="54"/>
      <c r="Q79" s="54"/>
      <c r="R79" s="54"/>
      <c r="S79" s="54">
        <v>0.12</v>
      </c>
      <c r="T79" s="54">
        <v>0.4</v>
      </c>
      <c r="U79" s="54">
        <v>0.4</v>
      </c>
      <c r="V79" s="54">
        <v>0.4</v>
      </c>
      <c r="W79" s="54">
        <v>0.4</v>
      </c>
      <c r="X79" s="54">
        <v>0.4</v>
      </c>
      <c r="Y79" s="54">
        <v>0.4</v>
      </c>
      <c r="Z79" s="54"/>
      <c r="AA79" s="13">
        <f>IFERROR(VLOOKUP($N79,【管理用】BR_260204!$B$3:$D$20,3,FALSE)*O79,"-")</f>
        <v>0</v>
      </c>
      <c r="AB79" s="13">
        <f>IFERROR(VLOOKUP($N79,【管理用】BR_260204!$B$3:$D$20,3,FALSE)*P79,"-")</f>
        <v>0</v>
      </c>
      <c r="AC79" s="13">
        <f>IFERROR(VLOOKUP($N79,【管理用】BR_260204!$B$3:$D$20,3,FALSE)*Q79,"-")</f>
        <v>0</v>
      </c>
      <c r="AD79" s="13">
        <f>IFERROR(VLOOKUP($N79,【管理用】BR_260204!$B$3:$D$20,3,FALSE)*R79,"-")</f>
        <v>0</v>
      </c>
      <c r="AE79" s="13">
        <f>IFERROR(VLOOKUP($N79,【管理用】BR_260204!$B$3:$D$20,3,FALSE)*S79,"-")</f>
        <v>210</v>
      </c>
      <c r="AF79" s="13">
        <f>IFERROR(VLOOKUP($N79,【管理用】BR_260204!$B$3:$D$20,3,FALSE)*T79,"-")</f>
        <v>700</v>
      </c>
      <c r="AG79" s="13">
        <f>IFERROR(VLOOKUP($N79,【管理用】BR_260204!$B$3:$D$20,3,FALSE)*U79,"-")</f>
        <v>700</v>
      </c>
      <c r="AH79" s="13">
        <f>IFERROR(VLOOKUP($N79,【管理用】BR_260204!$B$3:$D$20,3,FALSE)*V79,"-")</f>
        <v>700</v>
      </c>
      <c r="AI79" s="13">
        <f>IFERROR(VLOOKUP($N79,【管理用】BR_260204!$B$3:$D$20,3,FALSE)*W79,"-")</f>
        <v>700</v>
      </c>
      <c r="AJ79" s="13">
        <f>IFERROR(VLOOKUP($N79,【管理用】BR_260204!$B$3:$D$20,3,FALSE)*X79,"-")</f>
        <v>700</v>
      </c>
      <c r="AK79" s="13">
        <f>IFERROR(VLOOKUP($N79,【管理用】BR_260204!$B$3:$D$20,3,FALSE)*Y79,"-")</f>
        <v>700</v>
      </c>
      <c r="AL79" s="13">
        <f>IFERROR(VLOOKUP($N79,【管理用】BR_260204!$B$3:$D$20,3,FALSE)*Z79,"-")</f>
        <v>0</v>
      </c>
      <c r="AM79" s="13">
        <f t="shared" si="15"/>
        <v>4410</v>
      </c>
      <c r="AN79" s="37" t="s">
        <v>355</v>
      </c>
      <c r="AP79" s="91"/>
    </row>
    <row r="80" spans="2:42">
      <c r="B80" s="45">
        <f t="shared" si="18"/>
        <v>76</v>
      </c>
      <c r="C80" s="43">
        <v>53</v>
      </c>
      <c r="D80" s="12" t="str">
        <f>IFERROR(VLOOKUP($C80,'【入力用②】案件ごと売上（D案件以上）'!$B$4:$Y$1048576,2,FALSE),"-")</f>
        <v>YAMAGATA</v>
      </c>
      <c r="E80" s="12" t="str">
        <f>IFERROR(VLOOKUP($C80,'【入力用②】案件ごと売上（D案件以上）'!$B$4:$Y$1048576,3,FALSE),"-")</f>
        <v>S1および制作部門変革支援（フェーズ4）</v>
      </c>
      <c r="F80" s="12"/>
      <c r="G80" s="12" t="str">
        <f>IFERROR(VLOOKUP($C80,'【入力用②】案件ごと売上（D案件以上）'!$B$4:$Y$1048576,5,FALSE),"-")</f>
        <v>その他</v>
      </c>
      <c r="H80" s="12" t="str">
        <f>IFERROR(VLOOKUP($C80,'【入力用②】案件ごと売上（D案件以上）'!$B$4:$Y$1048576,6,FALSE),"-")</f>
        <v>成立</v>
      </c>
      <c r="I80" s="13">
        <f>IFERROR(VLOOKUP($C80,'【入力用②】案件ごと売上（D案件以上）'!$B$4:$Y$1048576,8,FALSE),"-")</f>
        <v>33000</v>
      </c>
      <c r="J80" s="13">
        <f t="shared" si="17"/>
        <v>29477.599999999999</v>
      </c>
      <c r="K80" s="57">
        <f t="shared" ref="K80:K81" si="20">IFERROR(I80-J80,"-")</f>
        <v>3522.4000000000015</v>
      </c>
      <c r="L80" s="13">
        <f>IFERROR(VLOOKUP($C80,'【入力用②】案件ごと売上（D案件以上）'!$B$4:$Y$1048576,11,FALSE),"-")</f>
        <v>6</v>
      </c>
      <c r="M80" s="13">
        <f t="shared" ref="M80:M81" si="21">IFERROR(I80/L80,"-")</f>
        <v>5500</v>
      </c>
      <c r="N80" s="43" t="s">
        <v>488</v>
      </c>
      <c r="O80" s="54"/>
      <c r="P80" s="54"/>
      <c r="Q80" s="54"/>
      <c r="R80" s="54"/>
      <c r="S80" s="54">
        <v>0.36</v>
      </c>
      <c r="T80" s="54">
        <v>1.21</v>
      </c>
      <c r="U80" s="54">
        <v>1.61</v>
      </c>
      <c r="V80" s="54">
        <v>1.61</v>
      </c>
      <c r="W80" s="54">
        <v>1.61</v>
      </c>
      <c r="X80" s="54">
        <v>1.61</v>
      </c>
      <c r="Y80" s="54">
        <v>1.61</v>
      </c>
      <c r="Z80" s="54"/>
      <c r="AA80" s="13">
        <f>IFERROR(VLOOKUP($N80,【管理用】BR_260204!$B$3:$D$20,3,FALSE)*O80,"-")</f>
        <v>0</v>
      </c>
      <c r="AB80" s="13">
        <f>IFERROR(VLOOKUP($N80,【管理用】BR_260204!$B$3:$D$20,3,FALSE)*P80,"-")</f>
        <v>0</v>
      </c>
      <c r="AC80" s="13">
        <f>IFERROR(VLOOKUP($N80,【管理用】BR_260204!$B$3:$D$20,3,FALSE)*Q80,"-")</f>
        <v>0</v>
      </c>
      <c r="AD80" s="13">
        <f>IFERROR(VLOOKUP($N80,【管理用】BR_260204!$B$3:$D$20,3,FALSE)*R80,"-")</f>
        <v>0</v>
      </c>
      <c r="AE80" s="13">
        <f>IFERROR(VLOOKUP($N80,【管理用】BR_260204!$B$3:$D$20,3,FALSE)*S80,"-")</f>
        <v>360</v>
      </c>
      <c r="AF80" s="13">
        <f>IFERROR(VLOOKUP($N80,【管理用】BR_260204!$B$3:$D$20,3,FALSE)*T80,"-")</f>
        <v>1210</v>
      </c>
      <c r="AG80" s="13">
        <f>IFERROR(VLOOKUP($N80,【管理用】BR_260204!$B$3:$D$20,3,FALSE)*U80,"-")</f>
        <v>1610</v>
      </c>
      <c r="AH80" s="13">
        <f>IFERROR(VLOOKUP($N80,【管理用】BR_260204!$B$3:$D$20,3,FALSE)*V80,"-")</f>
        <v>1610</v>
      </c>
      <c r="AI80" s="13">
        <f>IFERROR(VLOOKUP($N80,【管理用】BR_260204!$B$3:$D$20,3,FALSE)*W80,"-")</f>
        <v>1610</v>
      </c>
      <c r="AJ80" s="13">
        <f>IFERROR(VLOOKUP($N80,【管理用】BR_260204!$B$3:$D$20,3,FALSE)*X80,"-")</f>
        <v>1610</v>
      </c>
      <c r="AK80" s="13">
        <f>IFERROR(VLOOKUP($N80,【管理用】BR_260204!$B$3:$D$20,3,FALSE)*Y80,"-")</f>
        <v>1610</v>
      </c>
      <c r="AL80" s="13">
        <f>IFERROR(VLOOKUP($N80,【管理用】BR_260204!$B$3:$D$20,3,FALSE)*Z80,"-")</f>
        <v>0</v>
      </c>
      <c r="AM80" s="13">
        <f>SUM(AA80:AL80)</f>
        <v>9620</v>
      </c>
      <c r="AN80" s="37" t="s">
        <v>355</v>
      </c>
      <c r="AP80" s="91"/>
    </row>
    <row r="81" spans="2:42">
      <c r="B81" s="45">
        <f t="shared" si="18"/>
        <v>77</v>
      </c>
      <c r="C81" s="43">
        <v>55</v>
      </c>
      <c r="D81" s="12" t="str">
        <f>IFERROR(VLOOKUP($C81,'【入力用②】案件ごと売上（D案件以上）'!$B$4:$Y$1048576,2,FALSE),"-")</f>
        <v>OKI</v>
      </c>
      <c r="E81" s="12" t="str">
        <f>IFERROR(VLOOKUP($C81,'【入力用②】案件ごと売上（D案件以上）'!$B$4:$Y$1048576,3,FALSE),"-")</f>
        <v>採用＆オンボーディング支援_Ph.1基礎調査</v>
      </c>
      <c r="F81" s="12" t="str">
        <f>IFERROR(VLOOKUP($C81,'【入力用②】案件ごと売上（D案件以上）'!$B$4:$Y$1048576,4,FALSE),"-")</f>
        <v>55_OKI_採用＆オンボーディング支援_Ph.1基礎調査</v>
      </c>
      <c r="G81" s="12" t="str">
        <f>IFERROR(VLOOKUP($C81,'【入力用②】案件ごと売上（D案件以上）'!$B$4:$Y$1048576,5,FALSE),"-")</f>
        <v>その他</v>
      </c>
      <c r="H81" s="12" t="str">
        <f>IFERROR(VLOOKUP($C81,'【入力用②】案件ごと売上（D案件以上）'!$B$4:$Y$1048576,6,FALSE),"-")</f>
        <v>B</v>
      </c>
      <c r="I81" s="13">
        <f>IFERROR(VLOOKUP($C81,'【入力用②】案件ごと売上（D案件以上）'!$B$4:$Y$1048576,8,FALSE),"-")</f>
        <v>2000</v>
      </c>
      <c r="J81" s="13">
        <f t="shared" si="17"/>
        <v>1565</v>
      </c>
      <c r="K81" s="57">
        <f t="shared" si="20"/>
        <v>435</v>
      </c>
      <c r="L81" s="13">
        <f>IFERROR(VLOOKUP($C81,'【入力用②】案件ごと売上（D案件以上）'!$B$4:$Y$1048576,11,FALSE),"-")</f>
        <v>1</v>
      </c>
      <c r="M81" s="13">
        <f t="shared" si="21"/>
        <v>2000</v>
      </c>
      <c r="N81" s="43" t="s">
        <v>333</v>
      </c>
      <c r="O81" s="54"/>
      <c r="P81" s="54"/>
      <c r="Q81" s="54"/>
      <c r="R81" s="54"/>
      <c r="S81" s="54"/>
      <c r="T81" s="54"/>
      <c r="U81" s="54"/>
      <c r="V81" s="54">
        <v>0.05</v>
      </c>
      <c r="W81" s="54"/>
      <c r="X81" s="54"/>
      <c r="Y81" s="54"/>
      <c r="Z81" s="54"/>
      <c r="AA81" s="13">
        <f>IFERROR(VLOOKUP($N81,【管理用】BR_260204!$B$3:$D$20,3,FALSE)*O81,"-")</f>
        <v>0</v>
      </c>
      <c r="AB81" s="13">
        <f>IFERROR(VLOOKUP($N81,【管理用】BR_260204!$B$3:$D$20,3,FALSE)*P81,"-")</f>
        <v>0</v>
      </c>
      <c r="AC81" s="13">
        <f>IFERROR(VLOOKUP($N81,【管理用】BR_260204!$B$3:$D$20,3,FALSE)*Q81,"-")</f>
        <v>0</v>
      </c>
      <c r="AD81" s="13">
        <f>IFERROR(VLOOKUP($N81,【管理用】BR_260204!$B$3:$D$20,3,FALSE)*R81,"-")</f>
        <v>0</v>
      </c>
      <c r="AE81" s="13">
        <f>IFERROR(VLOOKUP($N81,【管理用】BR_260204!$B$3:$D$20,3,FALSE)*S81,"-")</f>
        <v>0</v>
      </c>
      <c r="AF81" s="13">
        <f>IFERROR(VLOOKUP($N81,【管理用】BR_260204!$B$3:$D$20,3,FALSE)*T81,"-")</f>
        <v>0</v>
      </c>
      <c r="AG81" s="13">
        <f>IFERROR(VLOOKUP($N81,【管理用】BR_260204!$B$3:$D$20,3,FALSE)*U81,"-")</f>
        <v>0</v>
      </c>
      <c r="AH81" s="13">
        <f>IFERROR(VLOOKUP($N81,【管理用】BR_260204!$B$3:$D$20,3,FALSE)*V81,"-")</f>
        <v>425</v>
      </c>
      <c r="AI81" s="13">
        <f>IFERROR(VLOOKUP($N81,【管理用】BR_260204!$B$3:$D$20,3,FALSE)*W81,"-")</f>
        <v>0</v>
      </c>
      <c r="AJ81" s="13">
        <f>IFERROR(VLOOKUP($N81,【管理用】BR_260204!$B$3:$D$20,3,FALSE)*X81,"-")</f>
        <v>0</v>
      </c>
      <c r="AK81" s="13">
        <f>IFERROR(VLOOKUP($N81,【管理用】BR_260204!$B$3:$D$20,3,FALSE)*Y81,"-")</f>
        <v>0</v>
      </c>
      <c r="AL81" s="13">
        <f>IFERROR(VLOOKUP($N81,【管理用】BR_260204!$B$3:$D$20,3,FALSE)*Z81,"-")</f>
        <v>0</v>
      </c>
      <c r="AM81" s="13">
        <f t="shared" si="15"/>
        <v>425</v>
      </c>
      <c r="AN81" s="37" t="s">
        <v>355</v>
      </c>
      <c r="AP81" s="91"/>
    </row>
    <row r="82" spans="2:42">
      <c r="B82" s="45">
        <f t="shared" si="18"/>
        <v>78</v>
      </c>
      <c r="C82" s="43">
        <v>55</v>
      </c>
      <c r="D82" s="12" t="str">
        <f>IFERROR(VLOOKUP($C82,'【入力用②】案件ごと売上（D案件以上）'!$B$4:$Y$1048576,2,FALSE),"-")</f>
        <v>OKI</v>
      </c>
      <c r="E82" s="12" t="str">
        <f>IFERROR(VLOOKUP($C82,'【入力用②】案件ごと売上（D案件以上）'!$B$4:$Y$1048576,3,FALSE),"-")</f>
        <v>採用＆オンボーディング支援_Ph.1基礎調査</v>
      </c>
      <c r="F82" s="12" t="str">
        <f>IFERROR(VLOOKUP($C82,'【入力用②】案件ごと売上（D案件以上）'!$B$4:$Y$1048576,4,FALSE),"-")</f>
        <v>55_OKI_採用＆オンボーディング支援_Ph.1基礎調査</v>
      </c>
      <c r="G82" s="12" t="str">
        <f>IFERROR(VLOOKUP($C82,'【入力用②】案件ごと売上（D案件以上）'!$B$4:$Y$1048576,5,FALSE),"-")</f>
        <v>その他</v>
      </c>
      <c r="H82" s="12" t="str">
        <f>IFERROR(VLOOKUP($C82,'【入力用②】案件ごと売上（D案件以上）'!$B$4:$Y$1048576,6,FALSE),"-")</f>
        <v>B</v>
      </c>
      <c r="I82" s="13">
        <f>IFERROR(VLOOKUP($C82,'【入力用②】案件ごと売上（D案件以上）'!$B$4:$Y$1048576,8,FALSE),"-")</f>
        <v>2000</v>
      </c>
      <c r="J82" s="13">
        <f t="shared" si="17"/>
        <v>1565</v>
      </c>
      <c r="K82" s="57">
        <f t="shared" si="19"/>
        <v>435</v>
      </c>
      <c r="L82" s="13">
        <f>IFERROR(VLOOKUP($C82,'【入力用②】案件ごと売上（D案件以上）'!$B$4:$Y$1048576,11,FALSE),"-")</f>
        <v>1</v>
      </c>
      <c r="M82" s="13">
        <f t="shared" si="16"/>
        <v>2000</v>
      </c>
      <c r="N82" s="43" t="s">
        <v>187</v>
      </c>
      <c r="O82" s="54"/>
      <c r="P82" s="54"/>
      <c r="Q82" s="54"/>
      <c r="R82" s="54"/>
      <c r="S82" s="54"/>
      <c r="T82" s="54"/>
      <c r="U82" s="54"/>
      <c r="V82" s="54">
        <v>0.2</v>
      </c>
      <c r="W82" s="54"/>
      <c r="X82" s="54"/>
      <c r="Y82" s="54"/>
      <c r="Z82" s="54"/>
      <c r="AA82" s="13">
        <f>IFERROR(VLOOKUP($N82,【管理用】BR_260204!$B$3:$D$20,3,FALSE)*O82,"-")</f>
        <v>0</v>
      </c>
      <c r="AB82" s="13">
        <f>IFERROR(VLOOKUP($N82,【管理用】BR_260204!$B$3:$D$20,3,FALSE)*P82,"-")</f>
        <v>0</v>
      </c>
      <c r="AC82" s="13">
        <f>IFERROR(VLOOKUP($N82,【管理用】BR_260204!$B$3:$D$20,3,FALSE)*Q82,"-")</f>
        <v>0</v>
      </c>
      <c r="AD82" s="13">
        <f>IFERROR(VLOOKUP($N82,【管理用】BR_260204!$B$3:$D$20,3,FALSE)*R82,"-")</f>
        <v>0</v>
      </c>
      <c r="AE82" s="13">
        <f>IFERROR(VLOOKUP($N82,【管理用】BR_260204!$B$3:$D$20,3,FALSE)*S82,"-")</f>
        <v>0</v>
      </c>
      <c r="AF82" s="13">
        <f>IFERROR(VLOOKUP($N82,【管理用】BR_260204!$B$3:$D$20,3,FALSE)*T82,"-")</f>
        <v>0</v>
      </c>
      <c r="AG82" s="13">
        <f>IFERROR(VLOOKUP($N82,【管理用】BR_260204!$B$3:$D$20,3,FALSE)*U82,"-")</f>
        <v>0</v>
      </c>
      <c r="AH82" s="13">
        <f>IFERROR(VLOOKUP($N82,【管理用】BR_260204!$B$3:$D$20,3,FALSE)*V82,"-")</f>
        <v>440</v>
      </c>
      <c r="AI82" s="13">
        <f>IFERROR(VLOOKUP($N82,【管理用】BR_260204!$B$3:$D$20,3,FALSE)*W82,"-")</f>
        <v>0</v>
      </c>
      <c r="AJ82" s="13">
        <f>IFERROR(VLOOKUP($N82,【管理用】BR_260204!$B$3:$D$20,3,FALSE)*X82,"-")</f>
        <v>0</v>
      </c>
      <c r="AK82" s="13">
        <f>IFERROR(VLOOKUP($N82,【管理用】BR_260204!$B$3:$D$20,3,FALSE)*Y82,"-")</f>
        <v>0</v>
      </c>
      <c r="AL82" s="13">
        <f>IFERROR(VLOOKUP($N82,【管理用】BR_260204!$B$3:$D$20,3,FALSE)*Z82,"-")</f>
        <v>0</v>
      </c>
      <c r="AM82" s="13">
        <f t="shared" si="15"/>
        <v>440</v>
      </c>
      <c r="AN82" s="37" t="s">
        <v>355</v>
      </c>
      <c r="AP82" s="91"/>
    </row>
    <row r="83" spans="2:42">
      <c r="B83" s="45">
        <f t="shared" si="18"/>
        <v>79</v>
      </c>
      <c r="C83" s="43">
        <v>55</v>
      </c>
      <c r="D83" s="12" t="str">
        <f>IFERROR(VLOOKUP($C83,'【入力用②】案件ごと売上（D案件以上）'!$B$4:$Y$1048576,2,FALSE),"-")</f>
        <v>OKI</v>
      </c>
      <c r="E83" s="12" t="str">
        <f>IFERROR(VLOOKUP($C83,'【入力用②】案件ごと売上（D案件以上）'!$B$4:$Y$1048576,3,FALSE),"-")</f>
        <v>採用＆オンボーディング支援_Ph.1基礎調査</v>
      </c>
      <c r="F83" s="12" t="str">
        <f>IFERROR(VLOOKUP($C83,'【入力用②】案件ごと売上（D案件以上）'!$B$4:$Y$1048576,4,FALSE),"-")</f>
        <v>55_OKI_採用＆オンボーディング支援_Ph.1基礎調査</v>
      </c>
      <c r="G83" s="12" t="str">
        <f>IFERROR(VLOOKUP($C83,'【入力用②】案件ごと売上（D案件以上）'!$B$4:$Y$1048576,5,FALSE),"-")</f>
        <v>その他</v>
      </c>
      <c r="H83" s="12" t="str">
        <f>IFERROR(VLOOKUP($C83,'【入力用②】案件ごと売上（D案件以上）'!$B$4:$Y$1048576,6,FALSE),"-")</f>
        <v>B</v>
      </c>
      <c r="I83" s="13">
        <f>IFERROR(VLOOKUP($C83,'【入力用②】案件ごと売上（D案件以上）'!$B$4:$Y$1048576,8,FALSE),"-")</f>
        <v>2000</v>
      </c>
      <c r="J83" s="13">
        <f t="shared" si="17"/>
        <v>1565</v>
      </c>
      <c r="K83" s="57">
        <f t="shared" si="19"/>
        <v>435</v>
      </c>
      <c r="L83" s="13">
        <f>IFERROR(VLOOKUP($C83,'【入力用②】案件ごと売上（D案件以上）'!$B$4:$Y$1048576,11,FALSE),"-")</f>
        <v>1</v>
      </c>
      <c r="M83" s="13">
        <f t="shared" si="16"/>
        <v>2000</v>
      </c>
      <c r="N83" s="43" t="s">
        <v>492</v>
      </c>
      <c r="O83" s="54"/>
      <c r="P83" s="54"/>
      <c r="Q83" s="54"/>
      <c r="R83" s="54"/>
      <c r="S83" s="54"/>
      <c r="T83" s="54"/>
      <c r="U83" s="54"/>
      <c r="V83" s="54">
        <v>0.4</v>
      </c>
      <c r="W83" s="54"/>
      <c r="X83" s="54"/>
      <c r="Y83" s="54"/>
      <c r="Z83" s="54"/>
      <c r="AA83" s="13">
        <f>IFERROR(VLOOKUP($N83,【管理用】BR_260204!$B$3:$D$20,3,FALSE)*O83,"-")</f>
        <v>0</v>
      </c>
      <c r="AB83" s="13">
        <f>IFERROR(VLOOKUP($N83,【管理用】BR_260204!$B$3:$D$20,3,FALSE)*P83,"-")</f>
        <v>0</v>
      </c>
      <c r="AC83" s="13">
        <f>IFERROR(VLOOKUP($N83,【管理用】BR_260204!$B$3:$D$20,3,FALSE)*Q83,"-")</f>
        <v>0</v>
      </c>
      <c r="AD83" s="13">
        <f>IFERROR(VLOOKUP($N83,【管理用】BR_260204!$B$3:$D$20,3,FALSE)*R83,"-")</f>
        <v>0</v>
      </c>
      <c r="AE83" s="13">
        <f>IFERROR(VLOOKUP($N83,【管理用】BR_260204!$B$3:$D$20,3,FALSE)*S83,"-")</f>
        <v>0</v>
      </c>
      <c r="AF83" s="13">
        <f>IFERROR(VLOOKUP($N83,【管理用】BR_260204!$B$3:$D$20,3,FALSE)*T83,"-")</f>
        <v>0</v>
      </c>
      <c r="AG83" s="13">
        <f>IFERROR(VLOOKUP($N83,【管理用】BR_260204!$B$3:$D$20,3,FALSE)*U83,"-")</f>
        <v>0</v>
      </c>
      <c r="AH83" s="13">
        <f>IFERROR(VLOOKUP($N83,【管理用】BR_260204!$B$3:$D$20,3,FALSE)*V83,"-")</f>
        <v>700</v>
      </c>
      <c r="AI83" s="13">
        <f>IFERROR(VLOOKUP($N83,【管理用】BR_260204!$B$3:$D$20,3,FALSE)*W83,"-")</f>
        <v>0</v>
      </c>
      <c r="AJ83" s="13">
        <f>IFERROR(VLOOKUP($N83,【管理用】BR_260204!$B$3:$D$20,3,FALSE)*X83,"-")</f>
        <v>0</v>
      </c>
      <c r="AK83" s="13">
        <f>IFERROR(VLOOKUP($N83,【管理用】BR_260204!$B$3:$D$20,3,FALSE)*Y83,"-")</f>
        <v>0</v>
      </c>
      <c r="AL83" s="13">
        <f>IFERROR(VLOOKUP($N83,【管理用】BR_260204!$B$3:$D$20,3,FALSE)*Z83,"-")</f>
        <v>0</v>
      </c>
      <c r="AM83" s="13">
        <f t="shared" si="15"/>
        <v>700</v>
      </c>
      <c r="AN83" s="37" t="s">
        <v>355</v>
      </c>
      <c r="AP83" s="91"/>
    </row>
    <row r="84" spans="2:42">
      <c r="B84" s="45">
        <f t="shared" si="18"/>
        <v>80</v>
      </c>
      <c r="C84" s="43">
        <v>58</v>
      </c>
      <c r="D84" s="12" t="str">
        <f>IFERROR(VLOOKUP($C84,'【入力用②】案件ごと売上（D案件以上）'!$B$4:$Y$1048576,2,FALSE),"-")</f>
        <v>パラマウントベッド</v>
      </c>
      <c r="E84" s="12" t="str">
        <f>IFERROR(VLOOKUP($C84,'【入力用②】案件ごと売上（D案件以上）'!$B$4:$Y$1048576,3,FALSE),"-")</f>
        <v>DEI事務局 伴走支援　フェーズ1</v>
      </c>
      <c r="F84" s="12" t="str">
        <f>IFERROR(VLOOKUP($C84,'【入力用②】案件ごと売上（D案件以上）'!$B$4:$Y$1048576,4,FALSE),"-")</f>
        <v>58_パラマウントベッド_DEI事務局 伴走支援　フェーズ1</v>
      </c>
      <c r="G84" s="12" t="str">
        <f>IFERROR(VLOOKUP($C84,'【入力用②】案件ごと売上（D案件以上）'!$B$4:$Y$1048576,5,FALSE),"-")</f>
        <v>その他</v>
      </c>
      <c r="H84" s="12" t="str">
        <f>IFERROR(VLOOKUP($C84,'【入力用②】案件ごと売上（D案件以上）'!$B$4:$Y$1048576,6,FALSE),"-")</f>
        <v>C</v>
      </c>
      <c r="I84" s="13">
        <f>IFERROR(VLOOKUP($C84,'【入力用②】案件ごと売上（D案件以上）'!$B$4:$Y$1048576,8,FALSE),"-")</f>
        <v>5400</v>
      </c>
      <c r="J84" s="13">
        <f t="shared" si="17"/>
        <v>6200</v>
      </c>
      <c r="K84" s="57">
        <f t="shared" si="19"/>
        <v>-800</v>
      </c>
      <c r="L84" s="13">
        <f>IFERROR(VLOOKUP($C84,'【入力用②】案件ごと売上（D案件以上）'!$B$4:$Y$1048576,11,FALSE),"-")</f>
        <v>3</v>
      </c>
      <c r="M84" s="13">
        <f t="shared" si="16"/>
        <v>1800</v>
      </c>
      <c r="N84" s="43" t="s">
        <v>271</v>
      </c>
      <c r="O84" s="54"/>
      <c r="P84" s="54"/>
      <c r="Q84" s="54"/>
      <c r="R84" s="54"/>
      <c r="S84" s="54"/>
      <c r="T84" s="54"/>
      <c r="U84" s="54"/>
      <c r="V84" s="54">
        <v>0.5</v>
      </c>
      <c r="W84" s="54">
        <v>0.5</v>
      </c>
      <c r="X84" s="54">
        <v>0.5</v>
      </c>
      <c r="Y84" s="54">
        <v>0.5</v>
      </c>
      <c r="Z84" s="54">
        <v>0.5</v>
      </c>
      <c r="AA84" s="13">
        <f>IFERROR(VLOOKUP($N84,【管理用】BR_260204!$B$3:$D$20,3,FALSE)*O84,"-")</f>
        <v>0</v>
      </c>
      <c r="AB84" s="13">
        <f>IFERROR(VLOOKUP($N84,【管理用】BR_260204!$B$3:$D$20,3,FALSE)*P84,"-")</f>
        <v>0</v>
      </c>
      <c r="AC84" s="13">
        <f>IFERROR(VLOOKUP($N84,【管理用】BR_260204!$B$3:$D$20,3,FALSE)*Q84,"-")</f>
        <v>0</v>
      </c>
      <c r="AD84" s="13">
        <f>IFERROR(VLOOKUP($N84,【管理用】BR_260204!$B$3:$D$20,3,FALSE)*R84,"-")</f>
        <v>0</v>
      </c>
      <c r="AE84" s="13">
        <f>IFERROR(VLOOKUP($N84,【管理用】BR_260204!$B$3:$D$20,3,FALSE)*S84,"-")</f>
        <v>0</v>
      </c>
      <c r="AF84" s="13">
        <f>IFERROR(VLOOKUP($N84,【管理用】BR_260204!$B$3:$D$20,3,FALSE)*T84,"-")</f>
        <v>0</v>
      </c>
      <c r="AG84" s="13">
        <f>IFERROR(VLOOKUP($N84,【管理用】BR_260204!$B$3:$D$20,3,FALSE)*U84,"-")</f>
        <v>0</v>
      </c>
      <c r="AH84" s="13">
        <f>IFERROR(VLOOKUP($N84,【管理用】BR_260204!$B$3:$D$20,3,FALSE)*V84,"-")</f>
        <v>940</v>
      </c>
      <c r="AI84" s="13">
        <f>IFERROR(VLOOKUP($N84,【管理用】BR_260204!$B$3:$D$20,3,FALSE)*W84,"-")</f>
        <v>940</v>
      </c>
      <c r="AJ84" s="13">
        <f>IFERROR(VLOOKUP($N84,【管理用】BR_260204!$B$3:$D$20,3,FALSE)*X84,"-")</f>
        <v>940</v>
      </c>
      <c r="AK84" s="13">
        <f>IFERROR(VLOOKUP($N84,【管理用】BR_260204!$B$3:$D$20,3,FALSE)*Y84,"-")</f>
        <v>940</v>
      </c>
      <c r="AL84" s="13">
        <f>IFERROR(VLOOKUP($N84,【管理用】BR_260204!$B$3:$D$20,3,FALSE)*Z84,"-")</f>
        <v>940</v>
      </c>
      <c r="AM84" s="13">
        <f t="shared" si="15"/>
        <v>4700</v>
      </c>
      <c r="AN84" s="37" t="s">
        <v>355</v>
      </c>
      <c r="AP84" s="91"/>
    </row>
    <row r="85" spans="2:42">
      <c r="B85" s="45">
        <f t="shared" si="18"/>
        <v>81</v>
      </c>
      <c r="C85" s="43">
        <v>58</v>
      </c>
      <c r="D85" s="12" t="str">
        <f>IFERROR(VLOOKUP($C85,'【入力用②】案件ごと売上（D案件以上）'!$B$4:$Y$1048576,2,FALSE),"-")</f>
        <v>パラマウントベッド</v>
      </c>
      <c r="E85" s="12" t="str">
        <f>IFERROR(VLOOKUP($C85,'【入力用②】案件ごと売上（D案件以上）'!$B$4:$Y$1048576,3,FALSE),"-")</f>
        <v>DEI事務局 伴走支援　フェーズ1</v>
      </c>
      <c r="F85" s="12"/>
      <c r="G85" s="12" t="str">
        <f>IFERROR(VLOOKUP($C85,'【入力用②】案件ごと売上（D案件以上）'!$B$4:$Y$1048576,5,FALSE),"-")</f>
        <v>その他</v>
      </c>
      <c r="H85" s="12" t="str">
        <f>IFERROR(VLOOKUP($C85,'【入力用②】案件ごと売上（D案件以上）'!$B$4:$Y$1048576,6,FALSE),"-")</f>
        <v>C</v>
      </c>
      <c r="I85" s="13">
        <f>IFERROR(VLOOKUP($C85,'【入力用②】案件ごと売上（D案件以上）'!$B$4:$Y$1048576,8,FALSE),"-")</f>
        <v>5400</v>
      </c>
      <c r="J85" s="13">
        <f t="shared" si="17"/>
        <v>6200</v>
      </c>
      <c r="K85" s="57">
        <f t="shared" si="19"/>
        <v>-800</v>
      </c>
      <c r="L85" s="13">
        <v>5</v>
      </c>
      <c r="M85" s="13">
        <v>500</v>
      </c>
      <c r="N85" s="43" t="s">
        <v>494</v>
      </c>
      <c r="O85" s="54"/>
      <c r="P85" s="54"/>
      <c r="Q85" s="54"/>
      <c r="R85" s="54"/>
      <c r="S85" s="54"/>
      <c r="T85" s="54"/>
      <c r="U85" s="54"/>
      <c r="V85" s="54"/>
      <c r="W85" s="54"/>
      <c r="X85" s="54"/>
      <c r="Y85" s="54"/>
      <c r="Z85" s="54"/>
      <c r="AA85" s="13" t="str">
        <f>IFERROR(VLOOKUP($N85,【管理用】BR_260204!$B$3:$D$20,3,FALSE)*O85,"-")</f>
        <v>-</v>
      </c>
      <c r="AB85" s="13" t="str">
        <f>IFERROR(VLOOKUP($N85,【管理用】BR_260204!$B$3:$D$20,3,FALSE)*P85,"-")</f>
        <v>-</v>
      </c>
      <c r="AC85" s="13" t="str">
        <f>IFERROR(VLOOKUP($N85,【管理用】BR_260204!$B$3:$D$20,3,FALSE)*Q85,"-")</f>
        <v>-</v>
      </c>
      <c r="AD85" s="13" t="str">
        <f>IFERROR(VLOOKUP($N85,【管理用】BR_260204!$B$3:$D$20,3,FALSE)*R85,"-")</f>
        <v>-</v>
      </c>
      <c r="AE85" s="13" t="str">
        <f>IFERROR(VLOOKUP($N85,【管理用】BR_260204!$B$3:$D$20,3,FALSE)*S85,"-")</f>
        <v>-</v>
      </c>
      <c r="AF85" s="13" t="str">
        <f>IFERROR(VLOOKUP($N85,【管理用】BR_260204!$B$3:$D$20,3,FALSE)*T85,"-")</f>
        <v>-</v>
      </c>
      <c r="AG85" s="13" t="str">
        <f>IFERROR(VLOOKUP($N85,【管理用】BR_260204!$B$3:$D$20,3,FALSE)*U85,"-")</f>
        <v>-</v>
      </c>
      <c r="AH85" s="13" t="str">
        <f>IFERROR(VLOOKUP($N85,【管理用】BR_260204!$B$3:$D$20,3,FALSE)*V85,"-")</f>
        <v>-</v>
      </c>
      <c r="AI85" s="13" t="str">
        <f>IFERROR(VLOOKUP($N85,【管理用】BR_260204!$B$3:$D$20,3,FALSE)*W85,"-")</f>
        <v>-</v>
      </c>
      <c r="AJ85" s="13" t="str">
        <f>IFERROR(VLOOKUP($N85,【管理用】BR_260204!$B$3:$D$20,3,FALSE)*X85,"-")</f>
        <v>-</v>
      </c>
      <c r="AK85" s="13" t="str">
        <f>IFERROR(VLOOKUP($N85,【管理用】BR_260204!$B$3:$D$20,3,FALSE)*Y85,"-")</f>
        <v>-</v>
      </c>
      <c r="AL85" s="13" t="str">
        <f>IFERROR(VLOOKUP($N85,【管理用】BR_260204!$B$3:$D$20,3,FALSE)*Z85,"-")</f>
        <v>-</v>
      </c>
      <c r="AM85" s="13">
        <f>SUM(AA85:AL85)</f>
        <v>0</v>
      </c>
      <c r="AN85" s="37" t="s">
        <v>355</v>
      </c>
      <c r="AP85" s="91"/>
    </row>
    <row r="86" spans="2:42">
      <c r="B86" s="45">
        <f t="shared" si="18"/>
        <v>82</v>
      </c>
      <c r="C86" s="43">
        <v>58</v>
      </c>
      <c r="D86" s="12" t="str">
        <f>IFERROR(VLOOKUP($C86,'【入力用②】案件ごと売上（D案件以上）'!$B$4:$Y$1048576,2,FALSE),"-")</f>
        <v>パラマウントベッド</v>
      </c>
      <c r="E86" s="12" t="str">
        <f>IFERROR(VLOOKUP($C86,'【入力用②】案件ごと売上（D案件以上）'!$B$4:$Y$1048576,3,FALSE),"-")</f>
        <v>DEI事務局 伴走支援　フェーズ1</v>
      </c>
      <c r="F86" s="12"/>
      <c r="G86" s="12" t="str">
        <f>IFERROR(VLOOKUP($C86,'【入力用②】案件ごと売上（D案件以上）'!$B$4:$Y$1048576,5,FALSE),"-")</f>
        <v>その他</v>
      </c>
      <c r="H86" s="12" t="str">
        <f>IFERROR(VLOOKUP($C86,'【入力用②】案件ごと売上（D案件以上）'!$B$4:$Y$1048576,6,FALSE),"-")</f>
        <v>C</v>
      </c>
      <c r="I86" s="13">
        <f>IFERROR(VLOOKUP($C86,'【入力用②】案件ごと売上（D案件以上）'!$B$4:$Y$1048576,8,FALSE),"-")</f>
        <v>5400</v>
      </c>
      <c r="J86" s="13">
        <f t="shared" si="17"/>
        <v>6200</v>
      </c>
      <c r="K86" s="57">
        <f t="shared" si="19"/>
        <v>-800</v>
      </c>
      <c r="L86" s="13">
        <v>5</v>
      </c>
      <c r="M86" s="13">
        <v>300</v>
      </c>
      <c r="N86" s="43" t="s">
        <v>488</v>
      </c>
      <c r="O86" s="54"/>
      <c r="P86" s="54"/>
      <c r="Q86" s="54"/>
      <c r="R86" s="54"/>
      <c r="S86" s="54"/>
      <c r="T86" s="54"/>
      <c r="U86" s="54"/>
      <c r="V86" s="54">
        <v>0.3</v>
      </c>
      <c r="W86" s="54">
        <v>0.3</v>
      </c>
      <c r="X86" s="54">
        <v>0.3</v>
      </c>
      <c r="Y86" s="54">
        <v>0.3</v>
      </c>
      <c r="Z86" s="54">
        <v>0.3</v>
      </c>
      <c r="AA86" s="13">
        <f>IFERROR(VLOOKUP($N86,【管理用】BR_260204!$B$3:$D$20,3,FALSE)*O86,"-")</f>
        <v>0</v>
      </c>
      <c r="AB86" s="13">
        <f>IFERROR(VLOOKUP($N86,【管理用】BR_260204!$B$3:$D$20,3,FALSE)*P86,"-")</f>
        <v>0</v>
      </c>
      <c r="AC86" s="13">
        <f>IFERROR(VLOOKUP($N86,【管理用】BR_260204!$B$3:$D$20,3,FALSE)*Q86,"-")</f>
        <v>0</v>
      </c>
      <c r="AD86" s="13">
        <f>IFERROR(VLOOKUP($N86,【管理用】BR_260204!$B$3:$D$20,3,FALSE)*R86,"-")</f>
        <v>0</v>
      </c>
      <c r="AE86" s="13">
        <f>IFERROR(VLOOKUP($N86,【管理用】BR_260204!$B$3:$D$20,3,FALSE)*S86,"-")</f>
        <v>0</v>
      </c>
      <c r="AF86" s="13">
        <f>IFERROR(VLOOKUP($N86,【管理用】BR_260204!$B$3:$D$20,3,FALSE)*T86,"-")</f>
        <v>0</v>
      </c>
      <c r="AG86" s="13">
        <f>IFERROR(VLOOKUP($N86,【管理用】BR_260204!$B$3:$D$20,3,FALSE)*U86,"-")</f>
        <v>0</v>
      </c>
      <c r="AH86" s="13">
        <f>IFERROR(VLOOKUP($N86,【管理用】BR_260204!$B$3:$D$20,3,FALSE)*V86,"-")</f>
        <v>300</v>
      </c>
      <c r="AI86" s="13">
        <f>IFERROR(VLOOKUP($N86,【管理用】BR_260204!$B$3:$D$20,3,FALSE)*W86,"-")</f>
        <v>300</v>
      </c>
      <c r="AJ86" s="13">
        <f>IFERROR(VLOOKUP($N86,【管理用】BR_260204!$B$3:$D$20,3,FALSE)*X86,"-")</f>
        <v>300</v>
      </c>
      <c r="AK86" s="13">
        <f>IFERROR(VLOOKUP($N86,【管理用】BR_260204!$B$3:$D$20,3,FALSE)*Y86,"-")</f>
        <v>300</v>
      </c>
      <c r="AL86" s="13">
        <f>IFERROR(VLOOKUP($N86,【管理用】BR_260204!$B$3:$D$20,3,FALSE)*Z86,"-")</f>
        <v>300</v>
      </c>
      <c r="AM86" s="13">
        <f>SUM(AA86:AL86)</f>
        <v>1500</v>
      </c>
      <c r="AN86" s="37" t="s">
        <v>355</v>
      </c>
      <c r="AP86" s="91"/>
    </row>
    <row r="87" spans="2:42">
      <c r="B87" s="45">
        <f t="shared" si="18"/>
        <v>83</v>
      </c>
      <c r="C87" s="43">
        <v>59</v>
      </c>
      <c r="D87" s="12" t="str">
        <f>IFERROR(VLOOKUP($C87,'【入力用②】案件ごと売上（D案件以上）'!$B$4:$Y$1048576,2,FALSE),"-")</f>
        <v>パラマウントベッド</v>
      </c>
      <c r="E87" s="12" t="str">
        <f>IFERROR(VLOOKUP($C87,'【入力用②】案件ごと売上（D案件以上）'!$B$4:$Y$1048576,3,FALSE),"-")</f>
        <v>管理職向け研修（コンサル分のみ）</v>
      </c>
      <c r="F87" s="12" t="str">
        <f>IFERROR(VLOOKUP($C87,'【入力用②】案件ごと売上（D案件以上）'!$B$4:$Y$1048576,4,FALSE),"-")</f>
        <v>59_パラマウントベッド_管理職向け研修（コンサル分のみ）</v>
      </c>
      <c r="G87" s="12" t="str">
        <f>IFERROR(VLOOKUP($C87,'【入力用②】案件ごと売上（D案件以上）'!$B$4:$Y$1048576,5,FALSE),"-")</f>
        <v>人材育成</v>
      </c>
      <c r="H87" s="12" t="str">
        <f>IFERROR(VLOOKUP($C87,'【入力用②】案件ごと売上（D案件以上）'!$B$4:$Y$1048576,6,FALSE),"-")</f>
        <v>C</v>
      </c>
      <c r="I87" s="13">
        <f>IFERROR(VLOOKUP($C87,'【入力用②】案件ごと売上（D案件以上）'!$B$4:$Y$1048576,8,FALSE),"-")</f>
        <v>600</v>
      </c>
      <c r="J87" s="13">
        <f t="shared" si="17"/>
        <v>0</v>
      </c>
      <c r="K87" s="57">
        <f t="shared" si="19"/>
        <v>600</v>
      </c>
      <c r="L87" s="13">
        <f>IFERROR(VLOOKUP($C87,'【入力用②】案件ごと売上（D案件以上）'!$B$4:$Y$1048576,11,FALSE),"-")</f>
        <v>5</v>
      </c>
      <c r="M87" s="13">
        <f t="shared" si="16"/>
        <v>120</v>
      </c>
      <c r="N87" s="43" t="s">
        <v>271</v>
      </c>
      <c r="O87" s="54"/>
      <c r="P87" s="54"/>
      <c r="Q87" s="54"/>
      <c r="R87" s="54"/>
      <c r="S87" s="54"/>
      <c r="T87" s="54"/>
      <c r="U87" s="54"/>
      <c r="V87" s="54"/>
      <c r="W87" s="54"/>
      <c r="X87" s="54"/>
      <c r="Y87" s="54"/>
      <c r="Z87" s="54"/>
      <c r="AA87" s="13">
        <f>IFERROR(VLOOKUP($N87,【管理用】BR_260204!$B$3:$D$20,3,FALSE)*O87,"-")</f>
        <v>0</v>
      </c>
      <c r="AB87" s="13">
        <f>IFERROR(VLOOKUP($N87,【管理用】BR_260204!$B$3:$D$20,3,FALSE)*P87,"-")</f>
        <v>0</v>
      </c>
      <c r="AC87" s="13">
        <f>IFERROR(VLOOKUP($N87,【管理用】BR_260204!$B$3:$D$20,3,FALSE)*Q87,"-")</f>
        <v>0</v>
      </c>
      <c r="AD87" s="13">
        <f>IFERROR(VLOOKUP($N87,【管理用】BR_260204!$B$3:$D$20,3,FALSE)*R87,"-")</f>
        <v>0</v>
      </c>
      <c r="AE87" s="13">
        <f>IFERROR(VLOOKUP($N87,【管理用】BR_260204!$B$3:$D$20,3,FALSE)*S87,"-")</f>
        <v>0</v>
      </c>
      <c r="AF87" s="13">
        <f>IFERROR(VLOOKUP($N87,【管理用】BR_260204!$B$3:$D$20,3,FALSE)*T87,"-")</f>
        <v>0</v>
      </c>
      <c r="AG87" s="13">
        <f>IFERROR(VLOOKUP($N87,【管理用】BR_260204!$B$3:$D$20,3,FALSE)*U87,"-")</f>
        <v>0</v>
      </c>
      <c r="AH87" s="13">
        <f>IFERROR(VLOOKUP($N87,【管理用】BR_260204!$B$3:$D$20,3,FALSE)*V87,"-")</f>
        <v>0</v>
      </c>
      <c r="AI87" s="13">
        <f>IFERROR(VLOOKUP($N87,【管理用】BR_260204!$B$3:$D$20,3,FALSE)*W87,"-")</f>
        <v>0</v>
      </c>
      <c r="AJ87" s="13">
        <f>IFERROR(VLOOKUP($N87,【管理用】BR_260204!$B$3:$D$20,3,FALSE)*X87,"-")</f>
        <v>0</v>
      </c>
      <c r="AK87" s="13">
        <f>IFERROR(VLOOKUP($N87,【管理用】BR_260204!$B$3:$D$20,3,FALSE)*Y87,"-")</f>
        <v>0</v>
      </c>
      <c r="AL87" s="13">
        <f>IFERROR(VLOOKUP($N87,【管理用】BR_260204!$B$3:$D$20,3,FALSE)*Z87,"-")</f>
        <v>0</v>
      </c>
      <c r="AM87" s="13">
        <f>SUM(AA87:AL87)</f>
        <v>0</v>
      </c>
      <c r="AN87" s="37" t="s">
        <v>355</v>
      </c>
      <c r="AP87" s="91"/>
    </row>
    <row r="88" spans="2:42">
      <c r="B88" s="45">
        <f t="shared" si="18"/>
        <v>84</v>
      </c>
      <c r="C88" s="43">
        <v>60</v>
      </c>
      <c r="D88" s="12" t="str">
        <f>IFERROR(VLOOKUP($C88,'【入力用②】案件ごと売上（D案件以上）'!$B$4:$Y$1048576,2,FALSE),"-")</f>
        <v>三井情報</v>
      </c>
      <c r="E88" s="12" t="str">
        <f>IFERROR(VLOOKUP($C88,'【入力用②】案件ごと売上（D案件以上）'!$B$4:$Y$1048576,3,FALSE),"-")</f>
        <v>人材マネジメントアドバイザリーPhase2</v>
      </c>
      <c r="F88" s="12" t="str">
        <f>IFERROR(VLOOKUP($C88,'【入力用②】案件ごと売上（D案件以上）'!$B$4:$Y$1048576,4,FALSE),"-")</f>
        <v>60_三井情報_人材マネジメントアドバイザリーPhase2</v>
      </c>
      <c r="G88" s="12" t="str">
        <f>IFERROR(VLOOKUP($C88,'【入力用②】案件ごと売上（D案件以上）'!$B$4:$Y$1048576,5,FALSE),"-")</f>
        <v>人材育成</v>
      </c>
      <c r="H88" s="12" t="str">
        <f>IFERROR(VLOOKUP($C88,'【入力用②】案件ごと売上（D案件以上）'!$B$4:$Y$1048576,6,FALSE),"-")</f>
        <v>A</v>
      </c>
      <c r="I88" s="13">
        <f>IFERROR(VLOOKUP($C88,'【入力用②】案件ごと売上（D案件以上）'!$B$4:$Y$1048576,8,FALSE),"-")</f>
        <v>3500</v>
      </c>
      <c r="J88" s="13">
        <f t="shared" si="17"/>
        <v>3442.5</v>
      </c>
      <c r="K88" s="57">
        <f t="shared" si="19"/>
        <v>57.5</v>
      </c>
      <c r="L88" s="13">
        <f>IFERROR(VLOOKUP($C88,'【入力用②】案件ごと売上（D案件以上）'!$B$4:$Y$1048576,11,FALSE),"-")</f>
        <v>5</v>
      </c>
      <c r="M88" s="13">
        <f t="shared" si="16"/>
        <v>700</v>
      </c>
      <c r="N88" s="43" t="s">
        <v>490</v>
      </c>
      <c r="O88" s="54"/>
      <c r="P88" s="54"/>
      <c r="Q88" s="54"/>
      <c r="R88" s="54"/>
      <c r="S88" s="54"/>
      <c r="T88" s="54"/>
      <c r="U88" s="54"/>
      <c r="V88" s="54">
        <v>0.27</v>
      </c>
      <c r="W88" s="54">
        <v>0.27</v>
      </c>
      <c r="X88" s="54">
        <v>0.27</v>
      </c>
      <c r="Y88" s="54">
        <v>0.27</v>
      </c>
      <c r="Z88" s="54">
        <v>0.27</v>
      </c>
      <c r="AA88" s="13">
        <f>IFERROR(VLOOKUP($N88,【管理用】BR_260204!$B$3:$D$20,3,FALSE)*O88,"-")</f>
        <v>0</v>
      </c>
      <c r="AB88" s="13">
        <f>IFERROR(VLOOKUP($N88,【管理用】BR_260204!$B$3:$D$20,3,FALSE)*P88,"-")</f>
        <v>0</v>
      </c>
      <c r="AC88" s="13">
        <f>IFERROR(VLOOKUP($N88,【管理用】BR_260204!$B$3:$D$20,3,FALSE)*Q88,"-")</f>
        <v>0</v>
      </c>
      <c r="AD88" s="13">
        <f>IFERROR(VLOOKUP($N88,【管理用】BR_260204!$B$3:$D$20,3,FALSE)*R88,"-")</f>
        <v>0</v>
      </c>
      <c r="AE88" s="13">
        <f>IFERROR(VLOOKUP($N88,【管理用】BR_260204!$B$3:$D$20,3,FALSE)*S88,"-")</f>
        <v>0</v>
      </c>
      <c r="AF88" s="13">
        <f>IFERROR(VLOOKUP($N88,【管理用】BR_260204!$B$3:$D$20,3,FALSE)*T88,"-")</f>
        <v>0</v>
      </c>
      <c r="AG88" s="13">
        <f>IFERROR(VLOOKUP($N88,【管理用】BR_260204!$B$3:$D$20,3,FALSE)*U88,"-")</f>
        <v>0</v>
      </c>
      <c r="AH88" s="13">
        <f>IFERROR(VLOOKUP($N88,【管理用】BR_260204!$B$3:$D$20,3,FALSE)*V88,"-")</f>
        <v>688.5</v>
      </c>
      <c r="AI88" s="13">
        <f>IFERROR(VLOOKUP($N88,【管理用】BR_260204!$B$3:$D$20,3,FALSE)*W88,"-")</f>
        <v>688.5</v>
      </c>
      <c r="AJ88" s="13">
        <f>IFERROR(VLOOKUP($N88,【管理用】BR_260204!$B$3:$D$20,3,FALSE)*X88,"-")</f>
        <v>688.5</v>
      </c>
      <c r="AK88" s="13">
        <f>IFERROR(VLOOKUP($N88,【管理用】BR_260204!$B$3:$D$20,3,FALSE)*Y88,"-")</f>
        <v>688.5</v>
      </c>
      <c r="AL88" s="13">
        <f>IFERROR(VLOOKUP($N88,【管理用】BR_260204!$B$3:$D$20,3,FALSE)*Z88,"-")</f>
        <v>688.5</v>
      </c>
      <c r="AM88" s="13">
        <f t="shared" si="15"/>
        <v>3442.5</v>
      </c>
      <c r="AN88" s="37" t="s">
        <v>355</v>
      </c>
      <c r="AP88" s="91"/>
    </row>
    <row r="89" spans="2:42">
      <c r="B89" s="45">
        <f t="shared" si="18"/>
        <v>85</v>
      </c>
      <c r="C89" s="43">
        <v>61</v>
      </c>
      <c r="D89" s="12" t="str">
        <f>IFERROR(VLOOKUP($C89,'【入力用②】案件ごと売上（D案件以上）'!$B$4:$Y$1048576,2,FALSE),"-")</f>
        <v>Beyonge</v>
      </c>
      <c r="E89" s="12" t="str">
        <f>IFERROR(VLOOKUP($C89,'【入力用②】案件ごと売上（D案件以上）'!$B$4:$Y$1048576,3,FALSE),"-")</f>
        <v>AP様向け新卒採用支援販売手数料</v>
      </c>
      <c r="F89" s="12" t="str">
        <f>IFERROR(VLOOKUP($C89,'【入力用②】案件ごと売上（D案件以上）'!$B$4:$Y$1048576,4,FALSE),"-")</f>
        <v>61_Beyonge_AP様向け新卒採用支援販売手数料</v>
      </c>
      <c r="G89" s="12" t="str">
        <f>IFERROR(VLOOKUP($C89,'【入力用②】案件ごと売上（D案件以上）'!$B$4:$Y$1048576,5,FALSE),"-")</f>
        <v>その他</v>
      </c>
      <c r="H89" s="12" t="str">
        <f>IFERROR(VLOOKUP($C89,'【入力用②】案件ごと売上（D案件以上）'!$B$4:$Y$1048576,6,FALSE),"-")</f>
        <v>成立</v>
      </c>
      <c r="I89" s="13">
        <f>IFERROR(VLOOKUP($C89,'【入力用②】案件ごと売上（D案件以上）'!$B$4:$Y$1048576,8,FALSE),"-")</f>
        <v>600</v>
      </c>
      <c r="J89" s="13">
        <f t="shared" si="17"/>
        <v>602.1</v>
      </c>
      <c r="K89" s="57">
        <f t="shared" si="19"/>
        <v>-2.1000000000000227</v>
      </c>
      <c r="L89" s="13">
        <f>IFERROR(VLOOKUP($C89,'【入力用②】案件ごと売上（D案件以上）'!$B$4:$Y$1048576,11,FALSE),"-")</f>
        <v>6</v>
      </c>
      <c r="M89" s="13">
        <f t="shared" si="16"/>
        <v>100</v>
      </c>
      <c r="N89" s="43" t="s">
        <v>495</v>
      </c>
      <c r="O89" s="54"/>
      <c r="P89" s="54"/>
      <c r="Q89" s="54"/>
      <c r="R89" s="54"/>
      <c r="S89" s="54"/>
      <c r="T89" s="54">
        <v>4.4999999999999998E-2</v>
      </c>
      <c r="U89" s="54">
        <v>4.4999999999999998E-2</v>
      </c>
      <c r="V89" s="54">
        <v>4.4999999999999998E-2</v>
      </c>
      <c r="W89" s="54">
        <v>4.4999999999999998E-2</v>
      </c>
      <c r="X89" s="54">
        <v>4.4999999999999998E-2</v>
      </c>
      <c r="Y89" s="54">
        <v>4.4999999999999998E-2</v>
      </c>
      <c r="Z89" s="54"/>
      <c r="AA89" s="13">
        <f>IFERROR(VLOOKUP($N89,【管理用】BR_260204!$B$3:$D$20,3,FALSE)*O89,"-")</f>
        <v>0</v>
      </c>
      <c r="AB89" s="13">
        <f>IFERROR(VLOOKUP($N89,【管理用】BR_260204!$B$3:$D$20,3,FALSE)*P89,"-")</f>
        <v>0</v>
      </c>
      <c r="AC89" s="13">
        <f>IFERROR(VLOOKUP($N89,【管理用】BR_260204!$B$3:$D$20,3,FALSE)*Q89,"-")</f>
        <v>0</v>
      </c>
      <c r="AD89" s="13">
        <f>IFERROR(VLOOKUP($N89,【管理用】BR_260204!$B$3:$D$20,3,FALSE)*R89,"-")</f>
        <v>0</v>
      </c>
      <c r="AE89" s="13">
        <f>IFERROR(VLOOKUP($N89,【管理用】BR_260204!$B$3:$D$20,3,FALSE)*S89,"-")</f>
        <v>0</v>
      </c>
      <c r="AF89" s="13">
        <f>IFERROR(VLOOKUP($N89,【管理用】BR_260204!$B$3:$D$20,3,FALSE)*T89,"-")</f>
        <v>100.35</v>
      </c>
      <c r="AG89" s="13">
        <f>IFERROR(VLOOKUP($N89,【管理用】BR_260204!$B$3:$D$20,3,FALSE)*U89,"-")</f>
        <v>100.35</v>
      </c>
      <c r="AH89" s="13">
        <f>IFERROR(VLOOKUP($N89,【管理用】BR_260204!$B$3:$D$20,3,FALSE)*V89,"-")</f>
        <v>100.35</v>
      </c>
      <c r="AI89" s="13">
        <f>IFERROR(VLOOKUP($N89,【管理用】BR_260204!$B$3:$D$20,3,FALSE)*W89,"-")</f>
        <v>100.35</v>
      </c>
      <c r="AJ89" s="13">
        <f>IFERROR(VLOOKUP($N89,【管理用】BR_260204!$B$3:$D$20,3,FALSE)*X89,"-")</f>
        <v>100.35</v>
      </c>
      <c r="AK89" s="13">
        <f>IFERROR(VLOOKUP($N89,【管理用】BR_260204!$B$3:$D$20,3,FALSE)*Y89,"-")</f>
        <v>100.35</v>
      </c>
      <c r="AL89" s="13">
        <f>IFERROR(VLOOKUP($N89,【管理用】BR_260204!$B$3:$D$20,3,FALSE)*Z89,"-")</f>
        <v>0</v>
      </c>
      <c r="AM89" s="13">
        <f t="shared" si="15"/>
        <v>602.1</v>
      </c>
      <c r="AN89" s="37" t="s">
        <v>355</v>
      </c>
      <c r="AP89" s="91"/>
    </row>
    <row r="90" spans="2:42">
      <c r="B90" s="45">
        <f t="shared" si="18"/>
        <v>86</v>
      </c>
      <c r="C90" s="43">
        <v>62</v>
      </c>
      <c r="D90" s="12" t="str">
        <f>IFERROR(VLOOKUP($C90,'【入力用②】案件ごと売上（D案件以上）'!$B$4:$Y$1048576,2,FALSE),"-")</f>
        <v>防衛省統合幕僚監部</v>
      </c>
      <c r="E90" s="12" t="str">
        <f>IFERROR(VLOOKUP($C90,'【入力用②】案件ごと売上（D案件以上）'!$B$4:$Y$1048576,3,FALSE),"-")</f>
        <v>エンゲージメントサーベイ</v>
      </c>
      <c r="F90" s="12" t="str">
        <f>IFERROR(VLOOKUP($C90,'【入力用②】案件ごと売上（D案件以上）'!$B$4:$Y$1048576,4,FALSE),"-")</f>
        <v>62_防衛省統合幕僚監部_エンゲージメントサーベイ</v>
      </c>
      <c r="G90" s="12" t="str">
        <f>IFERROR(VLOOKUP($C90,'【入力用②】案件ごと売上（D案件以上）'!$B$4:$Y$1048576,5,FALSE),"-")</f>
        <v>HRアナリティクス</v>
      </c>
      <c r="H90" s="12" t="str">
        <f>IFERROR(VLOOKUP($C90,'【入力用②】案件ごと売上（D案件以上）'!$B$4:$Y$1048576,6,FALSE),"-")</f>
        <v>C</v>
      </c>
      <c r="I90" s="13">
        <f>IFERROR(VLOOKUP($C90,'【入力用②】案件ごと売上（D案件以上）'!$B$4:$Y$1048576,8,FALSE),"-")</f>
        <v>4000</v>
      </c>
      <c r="J90" s="13">
        <f t="shared" si="17"/>
        <v>0</v>
      </c>
      <c r="K90" s="57">
        <f t="shared" si="19"/>
        <v>4000</v>
      </c>
      <c r="L90" s="13">
        <f>IFERROR(VLOOKUP($C90,'【入力用②】案件ごと売上（D案件以上）'!$B$4:$Y$1048576,11,FALSE),"-")</f>
        <v>0</v>
      </c>
      <c r="M90" s="13" t="str">
        <f t="shared" si="16"/>
        <v>-</v>
      </c>
      <c r="N90" s="43" t="s">
        <v>187</v>
      </c>
      <c r="O90" s="54"/>
      <c r="P90" s="54"/>
      <c r="Q90" s="54"/>
      <c r="R90" s="54"/>
      <c r="S90" s="54"/>
      <c r="T90" s="54"/>
      <c r="U90" s="54"/>
      <c r="V90" s="54"/>
      <c r="W90" s="54"/>
      <c r="X90" s="54"/>
      <c r="Y90" s="54"/>
      <c r="Z90" s="54"/>
      <c r="AA90" s="13">
        <f>IFERROR(VLOOKUP($N90,【管理用】BR_260204!$B$3:$D$20,3,FALSE)*O90,"-")</f>
        <v>0</v>
      </c>
      <c r="AB90" s="13">
        <f>IFERROR(VLOOKUP($N90,【管理用】BR_260204!$B$3:$D$20,3,FALSE)*P90,"-")</f>
        <v>0</v>
      </c>
      <c r="AC90" s="13">
        <f>IFERROR(VLOOKUP($N90,【管理用】BR_260204!$B$3:$D$20,3,FALSE)*Q90,"-")</f>
        <v>0</v>
      </c>
      <c r="AD90" s="13">
        <f>IFERROR(VLOOKUP($N90,【管理用】BR_260204!$B$3:$D$20,3,FALSE)*R90,"-")</f>
        <v>0</v>
      </c>
      <c r="AE90" s="13">
        <f>IFERROR(VLOOKUP($N90,【管理用】BR_260204!$B$3:$D$20,3,FALSE)*S90,"-")</f>
        <v>0</v>
      </c>
      <c r="AF90" s="13">
        <f>IFERROR(VLOOKUP($N90,【管理用】BR_260204!$B$3:$D$20,3,FALSE)*T90,"-")</f>
        <v>0</v>
      </c>
      <c r="AG90" s="13">
        <f>IFERROR(VLOOKUP($N90,【管理用】BR_260204!$B$3:$D$20,3,FALSE)*U90,"-")</f>
        <v>0</v>
      </c>
      <c r="AH90" s="13">
        <f>IFERROR(VLOOKUP($N90,【管理用】BR_260204!$B$3:$D$20,3,FALSE)*V90,"-")</f>
        <v>0</v>
      </c>
      <c r="AI90" s="13">
        <f>IFERROR(VLOOKUP($N90,【管理用】BR_260204!$B$3:$D$20,3,FALSE)*W90,"-")</f>
        <v>0</v>
      </c>
      <c r="AJ90" s="13">
        <f>IFERROR(VLOOKUP($N90,【管理用】BR_260204!$B$3:$D$20,3,FALSE)*X90,"-")</f>
        <v>0</v>
      </c>
      <c r="AK90" s="13">
        <f>IFERROR(VLOOKUP($N90,【管理用】BR_260204!$B$3:$D$20,3,FALSE)*Y90,"-")</f>
        <v>0</v>
      </c>
      <c r="AL90" s="13">
        <f>IFERROR(VLOOKUP($N90,【管理用】BR_260204!$B$3:$D$20,3,FALSE)*Z90,"-")</f>
        <v>0</v>
      </c>
      <c r="AM90" s="13">
        <f t="shared" si="15"/>
        <v>0</v>
      </c>
      <c r="AN90" s="37" t="s">
        <v>355</v>
      </c>
      <c r="AP90" s="91"/>
    </row>
    <row r="91" spans="2:42">
      <c r="B91" s="45">
        <f t="shared" si="18"/>
        <v>87</v>
      </c>
      <c r="C91" s="43">
        <v>52</v>
      </c>
      <c r="D91" s="12" t="str">
        <f>IFERROR(VLOOKUP($C91,'【入力用②】案件ごと売上（D案件以上）'!$B$4:$Y$1048576,2,FALSE),"-")</f>
        <v>OKIクロステック</v>
      </c>
      <c r="E91" s="12" t="str">
        <f>IFERROR(VLOOKUP($C91,'【入力用②】案件ごと売上（D案件以上）'!$B$4:$Y$1048576,3,FALSE),"-")</f>
        <v>エンゲージメント向上支援</v>
      </c>
      <c r="F91" s="12" t="str">
        <f>IFERROR(VLOOKUP($C91,'【入力用②】案件ごと売上（D案件以上）'!$B$4:$Y$1048576,4,FALSE),"-")</f>
        <v>52_OKIクロステック_エンゲージメント向上支援</v>
      </c>
      <c r="G91" s="12" t="str">
        <f>IFERROR(VLOOKUP($C91,'【入力用②】案件ごと売上（D案件以上）'!$B$4:$Y$1048576,5,FALSE),"-")</f>
        <v>HRアナリティクス</v>
      </c>
      <c r="H91" s="12" t="str">
        <f>IFERROR(VLOOKUP($C91,'【入力用②】案件ごと売上（D案件以上）'!$B$4:$Y$1048576,6,FALSE),"-")</f>
        <v>失注</v>
      </c>
      <c r="I91" s="13">
        <f>IFERROR(VLOOKUP($C91,'【入力用②】案件ごと売上（D案件以上）'!$B$4:$Y$1048576,8,FALSE),"-")</f>
        <v>13000</v>
      </c>
      <c r="J91" s="13">
        <f t="shared" si="17"/>
        <v>12937.5</v>
      </c>
      <c r="K91" s="57">
        <f t="shared" si="19"/>
        <v>62.5</v>
      </c>
      <c r="L91" s="13">
        <f>IFERROR(VLOOKUP($C91,'【入力用②】案件ごと売上（D案件以上）'!$B$4:$Y$1048576,11,FALSE),"-")</f>
        <v>5</v>
      </c>
      <c r="M91" s="13">
        <f t="shared" si="16"/>
        <v>2600</v>
      </c>
      <c r="N91" s="43" t="s">
        <v>333</v>
      </c>
      <c r="O91" s="54"/>
      <c r="P91" s="54"/>
      <c r="Q91" s="54"/>
      <c r="R91" s="54"/>
      <c r="S91" s="54"/>
      <c r="T91" s="54"/>
      <c r="U91" s="54"/>
      <c r="V91" s="54">
        <v>0.1</v>
      </c>
      <c r="W91" s="54">
        <v>0.1</v>
      </c>
      <c r="X91" s="54">
        <v>0.1</v>
      </c>
      <c r="Y91" s="54">
        <v>0.1</v>
      </c>
      <c r="Z91" s="54">
        <v>0.1</v>
      </c>
      <c r="AA91" s="13">
        <f>IFERROR(VLOOKUP($N91,【管理用】BR_260204!$B$3:$D$20,3,FALSE)*O91,"-")</f>
        <v>0</v>
      </c>
      <c r="AB91" s="13">
        <f>IFERROR(VLOOKUP($N91,【管理用】BR_260204!$B$3:$D$20,3,FALSE)*P91,"-")</f>
        <v>0</v>
      </c>
      <c r="AC91" s="13">
        <f>IFERROR(VLOOKUP($N91,【管理用】BR_260204!$B$3:$D$20,3,FALSE)*Q91,"-")</f>
        <v>0</v>
      </c>
      <c r="AD91" s="13">
        <f>IFERROR(VLOOKUP($N91,【管理用】BR_260204!$B$3:$D$20,3,FALSE)*R91,"-")</f>
        <v>0</v>
      </c>
      <c r="AE91" s="13">
        <f>IFERROR(VLOOKUP($N91,【管理用】BR_260204!$B$3:$D$20,3,FALSE)*S91,"-")</f>
        <v>0</v>
      </c>
      <c r="AF91" s="13">
        <f>IFERROR(VLOOKUP($N91,【管理用】BR_260204!$B$3:$D$20,3,FALSE)*T91,"-")</f>
        <v>0</v>
      </c>
      <c r="AG91" s="13">
        <f>IFERROR(VLOOKUP($N91,【管理用】BR_260204!$B$3:$D$20,3,FALSE)*U91,"-")</f>
        <v>0</v>
      </c>
      <c r="AH91" s="13">
        <f>IFERROR(VLOOKUP($N91,【管理用】BR_260204!$B$3:$D$20,3,FALSE)*V91,"-")</f>
        <v>850</v>
      </c>
      <c r="AI91" s="13">
        <f>IFERROR(VLOOKUP($N91,【管理用】BR_260204!$B$3:$D$20,3,FALSE)*W91,"-")</f>
        <v>850</v>
      </c>
      <c r="AJ91" s="13">
        <f>IFERROR(VLOOKUP($N91,【管理用】BR_260204!$B$3:$D$20,3,FALSE)*X91,"-")</f>
        <v>850</v>
      </c>
      <c r="AK91" s="13">
        <f>IFERROR(VLOOKUP($N91,【管理用】BR_260204!$B$3:$D$20,3,FALSE)*Y91,"-")</f>
        <v>850</v>
      </c>
      <c r="AL91" s="13">
        <f>IFERROR(VLOOKUP($N91,【管理用】BR_260204!$B$3:$D$20,3,FALSE)*Z91,"-")</f>
        <v>850</v>
      </c>
      <c r="AM91" s="13">
        <f t="shared" si="15"/>
        <v>4250</v>
      </c>
      <c r="AN91" s="37" t="s">
        <v>355</v>
      </c>
      <c r="AP91" s="91"/>
    </row>
    <row r="92" spans="2:42">
      <c r="B92" s="45">
        <f t="shared" si="18"/>
        <v>88</v>
      </c>
      <c r="C92" s="43">
        <v>52</v>
      </c>
      <c r="D92" s="12" t="str">
        <f>IFERROR(VLOOKUP($C92,'【入力用②】案件ごと売上（D案件以上）'!$B$4:$Y$1048576,2,FALSE),"-")</f>
        <v>OKIクロステック</v>
      </c>
      <c r="E92" s="12" t="str">
        <f>IFERROR(VLOOKUP($C92,'【入力用②】案件ごと売上（D案件以上）'!$B$4:$Y$1048576,3,FALSE),"-")</f>
        <v>エンゲージメント向上支援</v>
      </c>
      <c r="F92" s="12" t="str">
        <f>IFERROR(VLOOKUP($C92,'【入力用②】案件ごと売上（D案件以上）'!$B$4:$Y$1048576,4,FALSE),"-")</f>
        <v>52_OKIクロステック_エンゲージメント向上支援</v>
      </c>
      <c r="G92" s="12" t="str">
        <f>IFERROR(VLOOKUP($C92,'【入力用②】案件ごと売上（D案件以上）'!$B$4:$Y$1048576,5,FALSE),"-")</f>
        <v>HRアナリティクス</v>
      </c>
      <c r="H92" s="12" t="str">
        <f>IFERROR(VLOOKUP($C92,'【入力用②】案件ごと売上（D案件以上）'!$B$4:$Y$1048576,6,FALSE),"-")</f>
        <v>失注</v>
      </c>
      <c r="I92" s="13">
        <f>IFERROR(VLOOKUP($C92,'【入力用②】案件ごと売上（D案件以上）'!$B$4:$Y$1048576,8,FALSE),"-")</f>
        <v>13000</v>
      </c>
      <c r="J92" s="13">
        <f t="shared" si="17"/>
        <v>12937.5</v>
      </c>
      <c r="K92" s="57">
        <f t="shared" si="19"/>
        <v>62.5</v>
      </c>
      <c r="L92" s="13">
        <f>IFERROR(VLOOKUP($C92,'【入力用②】案件ごと売上（D案件以上）'!$B$4:$Y$1048576,11,FALSE),"-")</f>
        <v>5</v>
      </c>
      <c r="M92" s="13">
        <f t="shared" si="16"/>
        <v>2600</v>
      </c>
      <c r="N92" s="43" t="s">
        <v>187</v>
      </c>
      <c r="O92" s="54"/>
      <c r="P92" s="54"/>
      <c r="Q92" s="54"/>
      <c r="R92" s="54"/>
      <c r="S92" s="54"/>
      <c r="T92" s="54"/>
      <c r="U92" s="54"/>
      <c r="V92" s="54">
        <v>0.4</v>
      </c>
      <c r="W92" s="54">
        <v>0.4</v>
      </c>
      <c r="X92" s="54">
        <v>0.4</v>
      </c>
      <c r="Y92" s="54">
        <v>0.4</v>
      </c>
      <c r="Z92" s="54">
        <v>0.4</v>
      </c>
      <c r="AA92" s="13">
        <f>IFERROR(VLOOKUP($N92,【管理用】BR_260204!$B$3:$D$20,3,FALSE)*O92,"-")</f>
        <v>0</v>
      </c>
      <c r="AB92" s="13">
        <f>IFERROR(VLOOKUP($N92,【管理用】BR_260204!$B$3:$D$20,3,FALSE)*P92,"-")</f>
        <v>0</v>
      </c>
      <c r="AC92" s="13">
        <f>IFERROR(VLOOKUP($N92,【管理用】BR_260204!$B$3:$D$20,3,FALSE)*Q92,"-")</f>
        <v>0</v>
      </c>
      <c r="AD92" s="13">
        <f>IFERROR(VLOOKUP($N92,【管理用】BR_260204!$B$3:$D$20,3,FALSE)*R92,"-")</f>
        <v>0</v>
      </c>
      <c r="AE92" s="13">
        <f>IFERROR(VLOOKUP($N92,【管理用】BR_260204!$B$3:$D$20,3,FALSE)*S92,"-")</f>
        <v>0</v>
      </c>
      <c r="AF92" s="13">
        <f>IFERROR(VLOOKUP($N92,【管理用】BR_260204!$B$3:$D$20,3,FALSE)*T92,"-")</f>
        <v>0</v>
      </c>
      <c r="AG92" s="13">
        <f>IFERROR(VLOOKUP($N92,【管理用】BR_260204!$B$3:$D$20,3,FALSE)*U92,"-")</f>
        <v>0</v>
      </c>
      <c r="AH92" s="13">
        <f>IFERROR(VLOOKUP($N92,【管理用】BR_260204!$B$3:$D$20,3,FALSE)*V92,"-")</f>
        <v>880</v>
      </c>
      <c r="AI92" s="13">
        <f>IFERROR(VLOOKUP($N92,【管理用】BR_260204!$B$3:$D$20,3,FALSE)*W92,"-")</f>
        <v>880</v>
      </c>
      <c r="AJ92" s="13">
        <f>IFERROR(VLOOKUP($N92,【管理用】BR_260204!$B$3:$D$20,3,FALSE)*X92,"-")</f>
        <v>880</v>
      </c>
      <c r="AK92" s="13">
        <f>IFERROR(VLOOKUP($N92,【管理用】BR_260204!$B$3:$D$20,3,FALSE)*Y92,"-")</f>
        <v>880</v>
      </c>
      <c r="AL92" s="13">
        <f>IFERROR(VLOOKUP($N92,【管理用】BR_260204!$B$3:$D$20,3,FALSE)*Z92,"-")</f>
        <v>880</v>
      </c>
      <c r="AM92" s="13">
        <f t="shared" si="15"/>
        <v>4400</v>
      </c>
      <c r="AN92" s="37" t="s">
        <v>355</v>
      </c>
      <c r="AP92" s="91"/>
    </row>
    <row r="93" spans="2:42">
      <c r="B93" s="45">
        <f t="shared" si="18"/>
        <v>89</v>
      </c>
      <c r="C93" s="43">
        <v>52</v>
      </c>
      <c r="D93" s="12" t="str">
        <f>IFERROR(VLOOKUP($C93,'【入力用②】案件ごと売上（D案件以上）'!$B$4:$Y$1048576,2,FALSE),"-")</f>
        <v>OKIクロステック</v>
      </c>
      <c r="E93" s="12" t="str">
        <f>IFERROR(VLOOKUP($C93,'【入力用②】案件ごと売上（D案件以上）'!$B$4:$Y$1048576,3,FALSE),"-")</f>
        <v>エンゲージメント向上支援</v>
      </c>
      <c r="F93" s="12" t="str">
        <f>IFERROR(VLOOKUP($C93,'【入力用②】案件ごと売上（D案件以上）'!$B$4:$Y$1048576,4,FALSE),"-")</f>
        <v>52_OKIクロステック_エンゲージメント向上支援</v>
      </c>
      <c r="G93" s="12" t="str">
        <f>IFERROR(VLOOKUP($C93,'【入力用②】案件ごと売上（D案件以上）'!$B$4:$Y$1048576,5,FALSE),"-")</f>
        <v>HRアナリティクス</v>
      </c>
      <c r="H93" s="12" t="str">
        <f>IFERROR(VLOOKUP($C93,'【入力用②】案件ごと売上（D案件以上）'!$B$4:$Y$1048576,6,FALSE),"-")</f>
        <v>失注</v>
      </c>
      <c r="I93" s="13">
        <f>IFERROR(VLOOKUP($C93,'【入力用②】案件ごと売上（D案件以上）'!$B$4:$Y$1048576,8,FALSE),"-")</f>
        <v>13000</v>
      </c>
      <c r="J93" s="13">
        <f t="shared" si="17"/>
        <v>12937.5</v>
      </c>
      <c r="K93" s="57">
        <f t="shared" si="19"/>
        <v>62.5</v>
      </c>
      <c r="L93" s="13">
        <f>IFERROR(VLOOKUP($C93,'【入力用②】案件ごと売上（D案件以上）'!$B$4:$Y$1048576,11,FALSE),"-")</f>
        <v>5</v>
      </c>
      <c r="M93" s="13">
        <f t="shared" si="16"/>
        <v>2600</v>
      </c>
      <c r="N93" s="43" t="s">
        <v>492</v>
      </c>
      <c r="O93" s="54"/>
      <c r="P93" s="54"/>
      <c r="Q93" s="54"/>
      <c r="R93" s="54"/>
      <c r="S93" s="54"/>
      <c r="T93" s="54"/>
      <c r="U93" s="54"/>
      <c r="V93" s="54">
        <v>0.49</v>
      </c>
      <c r="W93" s="54">
        <v>0.49</v>
      </c>
      <c r="X93" s="54">
        <v>0.49</v>
      </c>
      <c r="Y93" s="54">
        <v>0.49</v>
      </c>
      <c r="Z93" s="54">
        <v>0.49</v>
      </c>
      <c r="AA93" s="13">
        <f>IFERROR(VLOOKUP($N93,【管理用】BR_260204!$B$3:$D$20,3,FALSE)*O93,"-")</f>
        <v>0</v>
      </c>
      <c r="AB93" s="13">
        <f>IFERROR(VLOOKUP($N93,【管理用】BR_260204!$B$3:$D$20,3,FALSE)*P93,"-")</f>
        <v>0</v>
      </c>
      <c r="AC93" s="13">
        <f>IFERROR(VLOOKUP($N93,【管理用】BR_260204!$B$3:$D$20,3,FALSE)*Q93,"-")</f>
        <v>0</v>
      </c>
      <c r="AD93" s="13">
        <f>IFERROR(VLOOKUP($N93,【管理用】BR_260204!$B$3:$D$20,3,FALSE)*R93,"-")</f>
        <v>0</v>
      </c>
      <c r="AE93" s="13">
        <f>IFERROR(VLOOKUP($N93,【管理用】BR_260204!$B$3:$D$20,3,FALSE)*S93,"-")</f>
        <v>0</v>
      </c>
      <c r="AF93" s="13">
        <f>IFERROR(VLOOKUP($N93,【管理用】BR_260204!$B$3:$D$20,3,FALSE)*T93,"-")</f>
        <v>0</v>
      </c>
      <c r="AG93" s="13">
        <f>IFERROR(VLOOKUP($N93,【管理用】BR_260204!$B$3:$D$20,3,FALSE)*U93,"-")</f>
        <v>0</v>
      </c>
      <c r="AH93" s="13">
        <f>IFERROR(VLOOKUP($N93,【管理用】BR_260204!$B$3:$D$20,3,FALSE)*V93,"-")</f>
        <v>857.5</v>
      </c>
      <c r="AI93" s="13">
        <f>IFERROR(VLOOKUP($N93,【管理用】BR_260204!$B$3:$D$20,3,FALSE)*W93,"-")</f>
        <v>857.5</v>
      </c>
      <c r="AJ93" s="13">
        <f>IFERROR(VLOOKUP($N93,【管理用】BR_260204!$B$3:$D$20,3,FALSE)*X93,"-")</f>
        <v>857.5</v>
      </c>
      <c r="AK93" s="13">
        <f>IFERROR(VLOOKUP($N93,【管理用】BR_260204!$B$3:$D$20,3,FALSE)*Y93,"-")</f>
        <v>857.5</v>
      </c>
      <c r="AL93" s="13">
        <f>IFERROR(VLOOKUP($N93,【管理用】BR_260204!$B$3:$D$20,3,FALSE)*Z93,"-")</f>
        <v>857.5</v>
      </c>
      <c r="AM93" s="13">
        <f t="shared" si="15"/>
        <v>4287.5</v>
      </c>
      <c r="AN93" s="37" t="s">
        <v>355</v>
      </c>
      <c r="AP93" s="91"/>
    </row>
    <row r="94" spans="2:42">
      <c r="B94" s="45">
        <f t="shared" si="18"/>
        <v>90</v>
      </c>
      <c r="C94" s="43">
        <v>47</v>
      </c>
      <c r="D94" s="12" t="str">
        <f>IFERROR(VLOOKUP($C94,'【入力用②】案件ごと売上（D案件以上）'!$B$4:$Y$1048576,2,FALSE),"-")</f>
        <v>朝日生命</v>
      </c>
      <c r="E94" s="12" t="str">
        <f>IFERROR(VLOOKUP($C94,'【入力用②】案件ごと売上（D案件以上）'!$B$4:$Y$1048576,3,FALSE),"-")</f>
        <v>社内大学設立への現状調査</v>
      </c>
      <c r="F94" s="12" t="str">
        <f>IFERROR(VLOOKUP($C94,'【入力用②】案件ごと売上（D案件以上）'!$B$4:$Y$1048576,4,FALSE),"-")</f>
        <v>47_朝日生命_社内大学設立への現状調査</v>
      </c>
      <c r="G94" s="12" t="str">
        <f>IFERROR(VLOOKUP($C94,'【入力用②】案件ごと売上（D案件以上）'!$B$4:$Y$1048576,5,FALSE),"-")</f>
        <v>人材育成</v>
      </c>
      <c r="H94" s="12" t="str">
        <f>IFERROR(VLOOKUP($C94,'【入力用②】案件ごと売上（D案件以上）'!$B$4:$Y$1048576,6,FALSE),"-")</f>
        <v>A</v>
      </c>
      <c r="I94" s="13">
        <f>IFERROR(VLOOKUP($C94,'【入力用②】案件ごと売上（D案件以上）'!$B$4:$Y$1048576,8,FALSE),"-")</f>
        <v>3200</v>
      </c>
      <c r="J94" s="13">
        <f t="shared" si="17"/>
        <v>3284.6</v>
      </c>
      <c r="K94" s="57">
        <f t="shared" si="19"/>
        <v>-84.599999999999909</v>
      </c>
      <c r="L94" s="13">
        <f>IFERROR(VLOOKUP($C94,'【入力用②】案件ごと売上（D案件以上）'!$B$4:$Y$1048576,11,FALSE),"-")</f>
        <v>1.5</v>
      </c>
      <c r="M94" s="13">
        <f t="shared" si="16"/>
        <v>2133.3333333333335</v>
      </c>
      <c r="N94" s="43" t="s">
        <v>496</v>
      </c>
      <c r="O94" s="54"/>
      <c r="P94" s="54"/>
      <c r="Q94" s="54"/>
      <c r="R94" s="54"/>
      <c r="S94" s="54"/>
      <c r="T94" s="54">
        <v>0.2</v>
      </c>
      <c r="U94" s="54">
        <v>0.5</v>
      </c>
      <c r="V94" s="54"/>
      <c r="W94" s="54"/>
      <c r="X94" s="54"/>
      <c r="Y94" s="54"/>
      <c r="Z94" s="54"/>
      <c r="AA94" s="13">
        <f>IFERROR(VLOOKUP($N94,【管理用】BR_260204!$B$3:$D$20,3,FALSE)*O94,"-")</f>
        <v>0</v>
      </c>
      <c r="AB94" s="13">
        <f>IFERROR(VLOOKUP($N94,【管理用】BR_260204!$B$3:$D$20,3,FALSE)*P94,"-")</f>
        <v>0</v>
      </c>
      <c r="AC94" s="13">
        <f>IFERROR(VLOOKUP($N94,【管理用】BR_260204!$B$3:$D$20,3,FALSE)*Q94,"-")</f>
        <v>0</v>
      </c>
      <c r="AD94" s="13">
        <f>IFERROR(VLOOKUP($N94,【管理用】BR_260204!$B$3:$D$20,3,FALSE)*R94,"-")</f>
        <v>0</v>
      </c>
      <c r="AE94" s="13">
        <f>IFERROR(VLOOKUP($N94,【管理用】BR_260204!$B$3:$D$20,3,FALSE)*S94,"-")</f>
        <v>0</v>
      </c>
      <c r="AF94" s="13">
        <f>IFERROR(VLOOKUP($N94,【管理用】BR_260204!$B$3:$D$20,3,FALSE)*T94,"-")</f>
        <v>760</v>
      </c>
      <c r="AG94" s="13">
        <f>IFERROR(VLOOKUP($N94,【管理用】BR_260204!$B$3:$D$20,3,FALSE)*U94,"-")</f>
        <v>1900</v>
      </c>
      <c r="AH94" s="13">
        <f>IFERROR(VLOOKUP($N94,【管理用】BR_260204!$B$3:$D$20,3,FALSE)*V94,"-")</f>
        <v>0</v>
      </c>
      <c r="AI94" s="13">
        <f>IFERROR(VLOOKUP($N94,【管理用】BR_260204!$B$3:$D$20,3,FALSE)*W94,"-")</f>
        <v>0</v>
      </c>
      <c r="AJ94" s="13">
        <f>IFERROR(VLOOKUP($N94,【管理用】BR_260204!$B$3:$D$20,3,FALSE)*X94,"-")</f>
        <v>0</v>
      </c>
      <c r="AK94" s="13">
        <f>IFERROR(VLOOKUP($N94,【管理用】BR_260204!$B$3:$D$20,3,FALSE)*Y94,"-")</f>
        <v>0</v>
      </c>
      <c r="AL94" s="13">
        <f>IFERROR(VLOOKUP($N94,【管理用】BR_260204!$B$3:$D$20,3,FALSE)*Z94,"-")</f>
        <v>0</v>
      </c>
      <c r="AM94" s="13">
        <f t="shared" si="15"/>
        <v>2660</v>
      </c>
      <c r="AN94" s="37" t="s">
        <v>355</v>
      </c>
      <c r="AP94" s="91"/>
    </row>
    <row r="95" spans="2:42">
      <c r="B95" s="45">
        <f t="shared" si="18"/>
        <v>91</v>
      </c>
      <c r="C95" s="43">
        <v>47</v>
      </c>
      <c r="D95" s="12" t="str">
        <f>IFERROR(VLOOKUP($C95,'【入力用②】案件ごと売上（D案件以上）'!$B$4:$Y$1048576,2,FALSE),"-")</f>
        <v>朝日生命</v>
      </c>
      <c r="E95" s="12" t="str">
        <f>IFERROR(VLOOKUP($C95,'【入力用②】案件ごと売上（D案件以上）'!$B$4:$Y$1048576,3,FALSE),"-")</f>
        <v>社内大学設立への現状調査</v>
      </c>
      <c r="F95" s="12" t="str">
        <f>IFERROR(VLOOKUP($C95,'【入力用②】案件ごと売上（D案件以上）'!$B$4:$Y$1048576,4,FALSE),"-")</f>
        <v>47_朝日生命_社内大学設立への現状調査</v>
      </c>
      <c r="G95" s="12" t="str">
        <f>IFERROR(VLOOKUP($C95,'【入力用②】案件ごと売上（D案件以上）'!$B$4:$Y$1048576,5,FALSE),"-")</f>
        <v>人材育成</v>
      </c>
      <c r="H95" s="12" t="str">
        <f>IFERROR(VLOOKUP($C95,'【入力用②】案件ごと売上（D案件以上）'!$B$4:$Y$1048576,6,FALSE),"-")</f>
        <v>A</v>
      </c>
      <c r="I95" s="13">
        <f>IFERROR(VLOOKUP($C95,'【入力用②】案件ごと売上（D案件以上）'!$B$4:$Y$1048576,8,FALSE),"-")</f>
        <v>3200</v>
      </c>
      <c r="J95" s="13">
        <f t="shared" si="17"/>
        <v>3284.6</v>
      </c>
      <c r="K95" s="57">
        <f t="shared" si="19"/>
        <v>-84.599999999999909</v>
      </c>
      <c r="L95" s="13">
        <f>IFERROR(VLOOKUP($C95,'【入力用②】案件ごと売上（D案件以上）'!$B$4:$Y$1048576,11,FALSE),"-")</f>
        <v>1.5</v>
      </c>
      <c r="M95" s="13">
        <f t="shared" si="16"/>
        <v>2133.3333333333335</v>
      </c>
      <c r="N95" s="43" t="s">
        <v>396</v>
      </c>
      <c r="O95" s="54"/>
      <c r="P95" s="54"/>
      <c r="Q95" s="54"/>
      <c r="R95" s="54"/>
      <c r="S95" s="54"/>
      <c r="T95" s="54">
        <v>0.03</v>
      </c>
      <c r="U95" s="54">
        <v>0.03</v>
      </c>
      <c r="V95" s="54"/>
      <c r="W95" s="54"/>
      <c r="X95" s="54"/>
      <c r="Y95" s="54"/>
      <c r="Z95" s="54"/>
      <c r="AA95" s="13">
        <f>IFERROR(VLOOKUP($N95,【管理用】BR_260204!$B$3:$D$20,3,FALSE)*O95,"-")</f>
        <v>0</v>
      </c>
      <c r="AB95" s="13">
        <f>IFERROR(VLOOKUP($N95,【管理用】BR_260204!$B$3:$D$20,3,FALSE)*P95,"-")</f>
        <v>0</v>
      </c>
      <c r="AC95" s="13">
        <f>IFERROR(VLOOKUP($N95,【管理用】BR_260204!$B$3:$D$20,3,FALSE)*Q95,"-")</f>
        <v>0</v>
      </c>
      <c r="AD95" s="13">
        <f>IFERROR(VLOOKUP($N95,【管理用】BR_260204!$B$3:$D$20,3,FALSE)*R95,"-")</f>
        <v>0</v>
      </c>
      <c r="AE95" s="13">
        <f>IFERROR(VLOOKUP($N95,【管理用】BR_260204!$B$3:$D$20,3,FALSE)*S95,"-")</f>
        <v>0</v>
      </c>
      <c r="AF95" s="13">
        <f>IFERROR(VLOOKUP($N95,【管理用】BR_260204!$B$3:$D$20,3,FALSE)*T95,"-")</f>
        <v>184.79999999999998</v>
      </c>
      <c r="AG95" s="13">
        <f>IFERROR(VLOOKUP($N95,【管理用】BR_260204!$B$3:$D$20,3,FALSE)*U95,"-")</f>
        <v>184.79999999999998</v>
      </c>
      <c r="AH95" s="13">
        <f>IFERROR(VLOOKUP($N95,【管理用】BR_260204!$B$3:$D$20,3,FALSE)*V95,"-")</f>
        <v>0</v>
      </c>
      <c r="AI95" s="13">
        <f>IFERROR(VLOOKUP($N95,【管理用】BR_260204!$B$3:$D$20,3,FALSE)*W95,"-")</f>
        <v>0</v>
      </c>
      <c r="AJ95" s="13">
        <f>IFERROR(VLOOKUP($N95,【管理用】BR_260204!$B$3:$D$20,3,FALSE)*X95,"-")</f>
        <v>0</v>
      </c>
      <c r="AK95" s="13">
        <f>IFERROR(VLOOKUP($N95,【管理用】BR_260204!$B$3:$D$20,3,FALSE)*Y95,"-")</f>
        <v>0</v>
      </c>
      <c r="AL95" s="13">
        <f>IFERROR(VLOOKUP($N95,【管理用】BR_260204!$B$3:$D$20,3,FALSE)*Z95,"-")</f>
        <v>0</v>
      </c>
      <c r="AM95" s="13">
        <f t="shared" si="15"/>
        <v>369.59999999999997</v>
      </c>
      <c r="AN95" s="37" t="s">
        <v>355</v>
      </c>
      <c r="AP95" s="91"/>
    </row>
    <row r="96" spans="2:42">
      <c r="B96" s="45">
        <f t="shared" si="18"/>
        <v>92</v>
      </c>
      <c r="C96" s="43">
        <v>47</v>
      </c>
      <c r="D96" s="12" t="str">
        <f>IFERROR(VLOOKUP($C96,'【入力用②】案件ごと売上（D案件以上）'!$B$4:$Y$1048576,2,FALSE),"-")</f>
        <v>朝日生命</v>
      </c>
      <c r="E96" s="12" t="str">
        <f>IFERROR(VLOOKUP($C96,'【入力用②】案件ごと売上（D案件以上）'!$B$4:$Y$1048576,3,FALSE),"-")</f>
        <v>社内大学設立への現状調査</v>
      </c>
      <c r="F96" s="12" t="str">
        <f>IFERROR(VLOOKUP($C96,'【入力用②】案件ごと売上（D案件以上）'!$B$4:$Y$1048576,4,FALSE),"-")</f>
        <v>47_朝日生命_社内大学設立への現状調査</v>
      </c>
      <c r="G96" s="12" t="str">
        <f>IFERROR(VLOOKUP($C96,'【入力用②】案件ごと売上（D案件以上）'!$B$4:$Y$1048576,5,FALSE),"-")</f>
        <v>人材育成</v>
      </c>
      <c r="H96" s="12" t="str">
        <f>IFERROR(VLOOKUP($C96,'【入力用②】案件ごと売上（D案件以上）'!$B$4:$Y$1048576,6,FALSE),"-")</f>
        <v>A</v>
      </c>
      <c r="I96" s="13">
        <f>IFERROR(VLOOKUP($C96,'【入力用②】案件ごと売上（D案件以上）'!$B$4:$Y$1048576,8,FALSE),"-")</f>
        <v>3200</v>
      </c>
      <c r="J96" s="13">
        <f t="shared" si="17"/>
        <v>3284.6</v>
      </c>
      <c r="K96" s="57">
        <f t="shared" si="19"/>
        <v>-84.599999999999909</v>
      </c>
      <c r="L96" s="13">
        <f>IFERROR(VLOOKUP($C96,'【入力用②】案件ごと売上（D案件以上）'!$B$4:$Y$1048576,11,FALSE),"-")</f>
        <v>1.5</v>
      </c>
      <c r="M96" s="13">
        <f t="shared" si="16"/>
        <v>2133.3333333333335</v>
      </c>
      <c r="N96" s="43" t="s">
        <v>490</v>
      </c>
      <c r="O96" s="54"/>
      <c r="P96" s="54"/>
      <c r="Q96" s="54"/>
      <c r="R96" s="54"/>
      <c r="S96" s="54"/>
      <c r="T96" s="54">
        <v>0.05</v>
      </c>
      <c r="U96" s="54">
        <v>0.05</v>
      </c>
      <c r="V96" s="54"/>
      <c r="W96" s="54"/>
      <c r="X96" s="54"/>
      <c r="Y96" s="54"/>
      <c r="Z96" s="54"/>
      <c r="AA96" s="13">
        <f>IFERROR(VLOOKUP($N96,【管理用】BR_260204!$B$3:$D$20,3,FALSE)*O96,"-")</f>
        <v>0</v>
      </c>
      <c r="AB96" s="13">
        <f>IFERROR(VLOOKUP($N96,【管理用】BR_260204!$B$3:$D$20,3,FALSE)*P96,"-")</f>
        <v>0</v>
      </c>
      <c r="AC96" s="13">
        <f>IFERROR(VLOOKUP($N96,【管理用】BR_260204!$B$3:$D$20,3,FALSE)*Q96,"-")</f>
        <v>0</v>
      </c>
      <c r="AD96" s="13">
        <f>IFERROR(VLOOKUP($N96,【管理用】BR_260204!$B$3:$D$20,3,FALSE)*R96,"-")</f>
        <v>0</v>
      </c>
      <c r="AE96" s="13">
        <f>IFERROR(VLOOKUP($N96,【管理用】BR_260204!$B$3:$D$20,3,FALSE)*S96,"-")</f>
        <v>0</v>
      </c>
      <c r="AF96" s="13">
        <f>IFERROR(VLOOKUP($N96,【管理用】BR_260204!$B$3:$D$20,3,FALSE)*T96,"-")</f>
        <v>127.5</v>
      </c>
      <c r="AG96" s="13">
        <f>IFERROR(VLOOKUP($N96,【管理用】BR_260204!$B$3:$D$20,3,FALSE)*U96,"-")</f>
        <v>127.5</v>
      </c>
      <c r="AH96" s="13">
        <f>IFERROR(VLOOKUP($N96,【管理用】BR_260204!$B$3:$D$20,3,FALSE)*V96,"-")</f>
        <v>0</v>
      </c>
      <c r="AI96" s="13">
        <f>IFERROR(VLOOKUP($N96,【管理用】BR_260204!$B$3:$D$20,3,FALSE)*W96,"-")</f>
        <v>0</v>
      </c>
      <c r="AJ96" s="13">
        <f>IFERROR(VLOOKUP($N96,【管理用】BR_260204!$B$3:$D$20,3,FALSE)*X96,"-")</f>
        <v>0</v>
      </c>
      <c r="AK96" s="13">
        <f>IFERROR(VLOOKUP($N96,【管理用】BR_260204!$B$3:$D$20,3,FALSE)*Y96,"-")</f>
        <v>0</v>
      </c>
      <c r="AL96" s="13">
        <f>IFERROR(VLOOKUP($N96,【管理用】BR_260204!$B$3:$D$20,3,FALSE)*Z96,"-")</f>
        <v>0</v>
      </c>
      <c r="AM96" s="13">
        <f t="shared" si="15"/>
        <v>255</v>
      </c>
      <c r="AN96" s="37" t="s">
        <v>355</v>
      </c>
      <c r="AP96" s="91"/>
    </row>
    <row r="97" spans="2:42">
      <c r="B97" s="45">
        <f t="shared" si="18"/>
        <v>93</v>
      </c>
      <c r="C97" s="43">
        <v>64</v>
      </c>
      <c r="D97" s="12" t="str">
        <f>IFERROR(VLOOKUP($C97,'【入力用②】案件ごと売上（D案件以上）'!$B$4:$Y$1048576,2,FALSE),"-")</f>
        <v>日立ハイテク</v>
      </c>
      <c r="E97" s="12" t="str">
        <f>IFERROR(VLOOKUP($C97,'【入力用②】案件ごと売上（D案件以上）'!$B$4:$Y$1048576,3,FALSE),"-")</f>
        <v>人事データ分析</v>
      </c>
      <c r="F97" s="12" t="str">
        <f>IFERROR(VLOOKUP($C97,'【入力用②】案件ごと売上（D案件以上）'!$B$4:$Y$1048576,4,FALSE),"-")</f>
        <v>64_日立ハイテク_人事データ分析</v>
      </c>
      <c r="G97" s="12" t="str">
        <f>IFERROR(VLOOKUP($C97,'【入力用②】案件ごと売上（D案件以上）'!$B$4:$Y$1048576,5,FALSE),"-")</f>
        <v>HRアナリティクス</v>
      </c>
      <c r="H97" s="12" t="str">
        <f>IFERROR(VLOOKUP($C97,'【入力用②】案件ごと売上（D案件以上）'!$B$4:$Y$1048576,6,FALSE),"-")</f>
        <v>A</v>
      </c>
      <c r="I97" s="13">
        <f>IFERROR(VLOOKUP($C97,'【入力用②】案件ごと売上（D案件以上）'!$B$4:$Y$1048576,8,FALSE),"-")</f>
        <v>1500</v>
      </c>
      <c r="J97" s="13">
        <f t="shared" si="17"/>
        <v>1503.75</v>
      </c>
      <c r="K97" s="57">
        <f t="shared" si="19"/>
        <v>-3.75</v>
      </c>
      <c r="L97" s="13">
        <f>IFERROR(VLOOKUP($C97,'【入力用②】案件ごと売上（D案件以上）'!$B$4:$Y$1048576,11,FALSE),"-")</f>
        <v>1</v>
      </c>
      <c r="M97" s="13">
        <f t="shared" si="16"/>
        <v>1500</v>
      </c>
      <c r="N97" s="43" t="s">
        <v>187</v>
      </c>
      <c r="O97" s="54"/>
      <c r="P97" s="54"/>
      <c r="Q97" s="54"/>
      <c r="R97" s="54"/>
      <c r="S97" s="54"/>
      <c r="T97" s="54">
        <v>0.15</v>
      </c>
      <c r="U97" s="54">
        <v>0.1</v>
      </c>
      <c r="V97" s="54"/>
      <c r="W97" s="54"/>
      <c r="X97" s="54"/>
      <c r="Y97" s="54"/>
      <c r="Z97" s="54"/>
      <c r="AA97" s="13">
        <f>IFERROR(VLOOKUP($N97,【管理用】BR_260204!$B$3:$D$20,3,FALSE)*O97,"-")</f>
        <v>0</v>
      </c>
      <c r="AB97" s="13">
        <f>IFERROR(VLOOKUP($N97,【管理用】BR_260204!$B$3:$D$20,3,FALSE)*P97,"-")</f>
        <v>0</v>
      </c>
      <c r="AC97" s="13">
        <f>IFERROR(VLOOKUP($N97,【管理用】BR_260204!$B$3:$D$20,3,FALSE)*Q97,"-")</f>
        <v>0</v>
      </c>
      <c r="AD97" s="13">
        <f>IFERROR(VLOOKUP($N97,【管理用】BR_260204!$B$3:$D$20,3,FALSE)*R97,"-")</f>
        <v>0</v>
      </c>
      <c r="AE97" s="13">
        <f>IFERROR(VLOOKUP($N97,【管理用】BR_260204!$B$3:$D$20,3,FALSE)*S97,"-")</f>
        <v>0</v>
      </c>
      <c r="AF97" s="13">
        <f>IFERROR(VLOOKUP($N97,【管理用】BR_260204!$B$3:$D$20,3,FALSE)*T97,"-")</f>
        <v>330</v>
      </c>
      <c r="AG97" s="13">
        <f>IFERROR(VLOOKUP($N97,【管理用】BR_260204!$B$3:$D$20,3,FALSE)*U97,"-")</f>
        <v>220</v>
      </c>
      <c r="AH97" s="13">
        <f>IFERROR(VLOOKUP($N97,【管理用】BR_260204!$B$3:$D$20,3,FALSE)*V97,"-")</f>
        <v>0</v>
      </c>
      <c r="AI97" s="13">
        <f>IFERROR(VLOOKUP($N97,【管理用】BR_260204!$B$3:$D$20,3,FALSE)*W97,"-")</f>
        <v>0</v>
      </c>
      <c r="AJ97" s="13">
        <f>IFERROR(VLOOKUP($N97,【管理用】BR_260204!$B$3:$D$20,3,FALSE)*X97,"-")</f>
        <v>0</v>
      </c>
      <c r="AK97" s="13">
        <f>IFERROR(VLOOKUP($N97,【管理用】BR_260204!$B$3:$D$20,3,FALSE)*Y97,"-")</f>
        <v>0</v>
      </c>
      <c r="AL97" s="13">
        <f>IFERROR(VLOOKUP($N97,【管理用】BR_260204!$B$3:$D$20,3,FALSE)*Z97,"-")</f>
        <v>0</v>
      </c>
      <c r="AM97" s="13">
        <f t="shared" si="15"/>
        <v>550</v>
      </c>
      <c r="AN97" s="37" t="s">
        <v>355</v>
      </c>
      <c r="AP97" s="91"/>
    </row>
    <row r="98" spans="2:42">
      <c r="B98" s="45">
        <f t="shared" si="18"/>
        <v>94</v>
      </c>
      <c r="C98" s="43">
        <v>64</v>
      </c>
      <c r="D98" s="12" t="str">
        <f>IFERROR(VLOOKUP($C98,'【入力用②】案件ごと売上（D案件以上）'!$B$4:$Y$1048576,2,FALSE),"-")</f>
        <v>日立ハイテク</v>
      </c>
      <c r="E98" s="12" t="str">
        <f>IFERROR(VLOOKUP($C98,'【入力用②】案件ごと売上（D案件以上）'!$B$4:$Y$1048576,3,FALSE),"-")</f>
        <v>人事データ分析</v>
      </c>
      <c r="F98" s="12" t="str">
        <f>IFERROR(VLOOKUP($C98,'【入力用②】案件ごと売上（D案件以上）'!$B$4:$Y$1048576,4,FALSE),"-")</f>
        <v>64_日立ハイテク_人事データ分析</v>
      </c>
      <c r="G98" s="12" t="str">
        <f>IFERROR(VLOOKUP($C98,'【入力用②】案件ごと売上（D案件以上）'!$B$4:$Y$1048576,5,FALSE),"-")</f>
        <v>HRアナリティクス</v>
      </c>
      <c r="H98" s="12" t="str">
        <f>IFERROR(VLOOKUP($C98,'【入力用②】案件ごと売上（D案件以上）'!$B$4:$Y$1048576,6,FALSE),"-")</f>
        <v>A</v>
      </c>
      <c r="I98" s="13">
        <f>IFERROR(VLOOKUP($C98,'【入力用②】案件ごと売上（D案件以上）'!$B$4:$Y$1048576,8,FALSE),"-")</f>
        <v>1500</v>
      </c>
      <c r="J98" s="13">
        <f t="shared" si="17"/>
        <v>1503.75</v>
      </c>
      <c r="K98" s="57">
        <f t="shared" si="19"/>
        <v>-3.75</v>
      </c>
      <c r="L98" s="13">
        <f>IFERROR(VLOOKUP($C98,'【入力用②】案件ごと売上（D案件以上）'!$B$4:$Y$1048576,11,FALSE),"-")</f>
        <v>1</v>
      </c>
      <c r="M98" s="13">
        <f t="shared" si="16"/>
        <v>1500</v>
      </c>
      <c r="N98" s="43" t="s">
        <v>492</v>
      </c>
      <c r="O98" s="54"/>
      <c r="P98" s="54"/>
      <c r="Q98" s="54"/>
      <c r="R98" s="54"/>
      <c r="S98" s="54"/>
      <c r="T98" s="54">
        <v>0.25</v>
      </c>
      <c r="U98" s="54">
        <v>0.29499999999999998</v>
      </c>
      <c r="V98" s="54"/>
      <c r="W98" s="54"/>
      <c r="X98" s="54"/>
      <c r="Y98" s="54"/>
      <c r="Z98" s="54"/>
      <c r="AA98" s="13">
        <f>IFERROR(VLOOKUP($N98,【管理用】BR_260204!$B$3:$D$20,3,FALSE)*O98,"-")</f>
        <v>0</v>
      </c>
      <c r="AB98" s="13">
        <f>IFERROR(VLOOKUP($N98,【管理用】BR_260204!$B$3:$D$20,3,FALSE)*P98,"-")</f>
        <v>0</v>
      </c>
      <c r="AC98" s="13">
        <f>IFERROR(VLOOKUP($N98,【管理用】BR_260204!$B$3:$D$20,3,FALSE)*Q98,"-")</f>
        <v>0</v>
      </c>
      <c r="AD98" s="13">
        <f>IFERROR(VLOOKUP($N98,【管理用】BR_260204!$B$3:$D$20,3,FALSE)*R98,"-")</f>
        <v>0</v>
      </c>
      <c r="AE98" s="13">
        <f>IFERROR(VLOOKUP($N98,【管理用】BR_260204!$B$3:$D$20,3,FALSE)*S98,"-")</f>
        <v>0</v>
      </c>
      <c r="AF98" s="13">
        <f>IFERROR(VLOOKUP($N98,【管理用】BR_260204!$B$3:$D$20,3,FALSE)*T98,"-")</f>
        <v>437.5</v>
      </c>
      <c r="AG98" s="13">
        <f>IFERROR(VLOOKUP($N98,【管理用】BR_260204!$B$3:$D$20,3,FALSE)*U98,"-")</f>
        <v>516.25</v>
      </c>
      <c r="AH98" s="13">
        <f>IFERROR(VLOOKUP($N98,【管理用】BR_260204!$B$3:$D$20,3,FALSE)*V98,"-")</f>
        <v>0</v>
      </c>
      <c r="AI98" s="13">
        <f>IFERROR(VLOOKUP($N98,【管理用】BR_260204!$B$3:$D$20,3,FALSE)*W98,"-")</f>
        <v>0</v>
      </c>
      <c r="AJ98" s="13">
        <f>IFERROR(VLOOKUP($N98,【管理用】BR_260204!$B$3:$D$20,3,FALSE)*X98,"-")</f>
        <v>0</v>
      </c>
      <c r="AK98" s="13">
        <f>IFERROR(VLOOKUP($N98,【管理用】BR_260204!$B$3:$D$20,3,FALSE)*Y98,"-")</f>
        <v>0</v>
      </c>
      <c r="AL98" s="13">
        <f>IFERROR(VLOOKUP($N98,【管理用】BR_260204!$B$3:$D$20,3,FALSE)*Z98,"-")</f>
        <v>0</v>
      </c>
      <c r="AM98" s="13">
        <f t="shared" si="15"/>
        <v>953.75</v>
      </c>
      <c r="AN98" s="37" t="s">
        <v>355</v>
      </c>
      <c r="AP98" s="91"/>
    </row>
    <row r="99" spans="2:42">
      <c r="B99" s="45">
        <f t="shared" si="18"/>
        <v>95</v>
      </c>
      <c r="C99" s="43">
        <v>65</v>
      </c>
      <c r="D99" s="12" t="str">
        <f>IFERROR(VLOOKUP($C99,'【入力用②】案件ごと売上（D案件以上）'!$B$4:$Y$1048576,2,FALSE),"-")</f>
        <v>OKI</v>
      </c>
      <c r="E99" s="12" t="str">
        <f>IFERROR(VLOOKUP($C99,'【入力用②】案件ごと売上（D案件以上）'!$B$4:$Y$1048576,3,FALSE),"-")</f>
        <v>採用＆オンボーディング支援_Ph.2</v>
      </c>
      <c r="F99" s="12" t="str">
        <f>IFERROR(VLOOKUP($C99,'【入力用②】案件ごと売上（D案件以上）'!$B$4:$Y$1048576,4,FALSE),"-")</f>
        <v>65_OKI_採用＆オンボーディング支援_Ph.2</v>
      </c>
      <c r="G99" s="12" t="str">
        <f>IFERROR(VLOOKUP($C99,'【入力用②】案件ごと売上（D案件以上）'!$B$4:$Y$1048576,5,FALSE),"-")</f>
        <v>その他</v>
      </c>
      <c r="H99" s="12" t="str">
        <f>IFERROR(VLOOKUP($C99,'【入力用②】案件ごと売上（D案件以上）'!$B$4:$Y$1048576,6,FALSE),"-")</f>
        <v>B</v>
      </c>
      <c r="I99" s="13">
        <f>IFERROR(VLOOKUP($C99,'【入力用②】案件ごと売上（D案件以上）'!$B$4:$Y$1048576,8,FALSE),"-")</f>
        <v>13000</v>
      </c>
      <c r="J99" s="13">
        <f t="shared" si="17"/>
        <v>7825</v>
      </c>
      <c r="K99" s="57">
        <f t="shared" si="19"/>
        <v>5175</v>
      </c>
      <c r="L99" s="13">
        <f>IFERROR(VLOOKUP($C99,'【入力用②】案件ごと売上（D案件以上）'!$B$4:$Y$1048576,11,FALSE),"-")</f>
        <v>0</v>
      </c>
      <c r="M99" s="13" t="str">
        <f t="shared" si="16"/>
        <v>-</v>
      </c>
      <c r="N99" s="43" t="s">
        <v>333</v>
      </c>
      <c r="O99" s="54"/>
      <c r="P99" s="54"/>
      <c r="Q99" s="54"/>
      <c r="R99" s="54"/>
      <c r="S99" s="54"/>
      <c r="T99" s="54"/>
      <c r="U99" s="54"/>
      <c r="V99" s="54">
        <v>0.05</v>
      </c>
      <c r="W99" s="54">
        <v>0.05</v>
      </c>
      <c r="X99" s="54">
        <v>0.05</v>
      </c>
      <c r="Y99" s="54">
        <v>0.05</v>
      </c>
      <c r="Z99" s="54">
        <v>0.05</v>
      </c>
      <c r="AA99" s="13">
        <f>IFERROR(VLOOKUP($N99,【管理用】BR_260204!$B$3:$D$20,3,FALSE)*O99,"-")</f>
        <v>0</v>
      </c>
      <c r="AB99" s="13">
        <f>IFERROR(VLOOKUP($N99,【管理用】BR_260204!$B$3:$D$20,3,FALSE)*P99,"-")</f>
        <v>0</v>
      </c>
      <c r="AC99" s="13">
        <f>IFERROR(VLOOKUP($N99,【管理用】BR_260204!$B$3:$D$20,3,FALSE)*Q99,"-")</f>
        <v>0</v>
      </c>
      <c r="AD99" s="13">
        <f>IFERROR(VLOOKUP($N99,【管理用】BR_260204!$B$3:$D$20,3,FALSE)*R99,"-")</f>
        <v>0</v>
      </c>
      <c r="AE99" s="13">
        <f>IFERROR(VLOOKUP($N99,【管理用】BR_260204!$B$3:$D$20,3,FALSE)*S99,"-")</f>
        <v>0</v>
      </c>
      <c r="AF99" s="13">
        <f>IFERROR(VLOOKUP($N99,【管理用】BR_260204!$B$3:$D$20,3,FALSE)*T99,"-")</f>
        <v>0</v>
      </c>
      <c r="AG99" s="13">
        <f>IFERROR(VLOOKUP($N99,【管理用】BR_260204!$B$3:$D$20,3,FALSE)*U99,"-")</f>
        <v>0</v>
      </c>
      <c r="AH99" s="13">
        <f>IFERROR(VLOOKUP($N99,【管理用】BR_260204!$B$3:$D$20,3,FALSE)*V99,"-")</f>
        <v>425</v>
      </c>
      <c r="AI99" s="13">
        <f>IFERROR(VLOOKUP($N99,【管理用】BR_260204!$B$3:$D$20,3,FALSE)*W99,"-")</f>
        <v>425</v>
      </c>
      <c r="AJ99" s="13">
        <f>IFERROR(VLOOKUP($N99,【管理用】BR_260204!$B$3:$D$20,3,FALSE)*X99,"-")</f>
        <v>425</v>
      </c>
      <c r="AK99" s="13">
        <f>IFERROR(VLOOKUP($N99,【管理用】BR_260204!$B$3:$D$20,3,FALSE)*Y99,"-")</f>
        <v>425</v>
      </c>
      <c r="AL99" s="13">
        <f>IFERROR(VLOOKUP($N99,【管理用】BR_260204!$B$3:$D$20,3,FALSE)*Z99,"-")</f>
        <v>425</v>
      </c>
      <c r="AM99" s="13">
        <f t="shared" si="15"/>
        <v>2125</v>
      </c>
      <c r="AN99" s="37" t="s">
        <v>355</v>
      </c>
      <c r="AP99" s="91"/>
    </row>
    <row r="100" spans="2:42">
      <c r="B100" s="45">
        <f t="shared" si="18"/>
        <v>96</v>
      </c>
      <c r="C100" s="43">
        <v>65</v>
      </c>
      <c r="D100" s="12" t="str">
        <f>IFERROR(VLOOKUP($C100,'【入力用②】案件ごと売上（D案件以上）'!$B$4:$Y$1048576,2,FALSE),"-")</f>
        <v>OKI</v>
      </c>
      <c r="E100" s="12" t="str">
        <f>IFERROR(VLOOKUP($C100,'【入力用②】案件ごと売上（D案件以上）'!$B$4:$Y$1048576,3,FALSE),"-")</f>
        <v>採用＆オンボーディング支援_Ph.2</v>
      </c>
      <c r="F100" s="12" t="str">
        <f>IFERROR(VLOOKUP($C100,'【入力用②】案件ごと売上（D案件以上）'!$B$4:$Y$1048576,4,FALSE),"-")</f>
        <v>65_OKI_採用＆オンボーディング支援_Ph.2</v>
      </c>
      <c r="G100" s="12" t="str">
        <f>IFERROR(VLOOKUP($C100,'【入力用②】案件ごと売上（D案件以上）'!$B$4:$Y$1048576,5,FALSE),"-")</f>
        <v>その他</v>
      </c>
      <c r="H100" s="12" t="str">
        <f>IFERROR(VLOOKUP($C100,'【入力用②】案件ごと売上（D案件以上）'!$B$4:$Y$1048576,6,FALSE),"-")</f>
        <v>B</v>
      </c>
      <c r="I100" s="13">
        <f>IFERROR(VLOOKUP($C100,'【入力用②】案件ごと売上（D案件以上）'!$B$4:$Y$1048576,8,FALSE),"-")</f>
        <v>13000</v>
      </c>
      <c r="J100" s="13">
        <f t="shared" si="17"/>
        <v>7825</v>
      </c>
      <c r="K100" s="57">
        <f t="shared" si="19"/>
        <v>5175</v>
      </c>
      <c r="L100" s="13">
        <f>IFERROR(VLOOKUP($C100,'【入力用②】案件ごと売上（D案件以上）'!$B$4:$Y$1048576,11,FALSE),"-")</f>
        <v>0</v>
      </c>
      <c r="M100" s="13" t="str">
        <f t="shared" si="16"/>
        <v>-</v>
      </c>
      <c r="N100" s="43" t="s">
        <v>187</v>
      </c>
      <c r="O100" s="54"/>
      <c r="P100" s="54"/>
      <c r="Q100" s="54"/>
      <c r="R100" s="54"/>
      <c r="S100" s="54"/>
      <c r="T100" s="54"/>
      <c r="U100" s="54"/>
      <c r="V100" s="54">
        <v>0.2</v>
      </c>
      <c r="W100" s="54">
        <v>0.2</v>
      </c>
      <c r="X100" s="54">
        <v>0.2</v>
      </c>
      <c r="Y100" s="54">
        <v>0.2</v>
      </c>
      <c r="Z100" s="54">
        <v>0.2</v>
      </c>
      <c r="AA100" s="13">
        <f>IFERROR(VLOOKUP($N100,【管理用】BR_260204!$B$3:$D$20,3,FALSE)*O100,"-")</f>
        <v>0</v>
      </c>
      <c r="AB100" s="13">
        <f>IFERROR(VLOOKUP($N100,【管理用】BR_260204!$B$3:$D$20,3,FALSE)*P100,"-")</f>
        <v>0</v>
      </c>
      <c r="AC100" s="13">
        <f>IFERROR(VLOOKUP($N100,【管理用】BR_260204!$B$3:$D$20,3,FALSE)*Q100,"-")</f>
        <v>0</v>
      </c>
      <c r="AD100" s="13">
        <f>IFERROR(VLOOKUP($N100,【管理用】BR_260204!$B$3:$D$20,3,FALSE)*R100,"-")</f>
        <v>0</v>
      </c>
      <c r="AE100" s="13">
        <f>IFERROR(VLOOKUP($N100,【管理用】BR_260204!$B$3:$D$20,3,FALSE)*S100,"-")</f>
        <v>0</v>
      </c>
      <c r="AF100" s="13">
        <f>IFERROR(VLOOKUP($N100,【管理用】BR_260204!$B$3:$D$20,3,FALSE)*T100,"-")</f>
        <v>0</v>
      </c>
      <c r="AG100" s="13">
        <f>IFERROR(VLOOKUP($N100,【管理用】BR_260204!$B$3:$D$20,3,FALSE)*U100,"-")</f>
        <v>0</v>
      </c>
      <c r="AH100" s="13">
        <f>IFERROR(VLOOKUP($N100,【管理用】BR_260204!$B$3:$D$20,3,FALSE)*V100,"-")</f>
        <v>440</v>
      </c>
      <c r="AI100" s="13">
        <f>IFERROR(VLOOKUP($N100,【管理用】BR_260204!$B$3:$D$20,3,FALSE)*W100,"-")</f>
        <v>440</v>
      </c>
      <c r="AJ100" s="13">
        <f>IFERROR(VLOOKUP($N100,【管理用】BR_260204!$B$3:$D$20,3,FALSE)*X100,"-")</f>
        <v>440</v>
      </c>
      <c r="AK100" s="13">
        <f>IFERROR(VLOOKUP($N100,【管理用】BR_260204!$B$3:$D$20,3,FALSE)*Y100,"-")</f>
        <v>440</v>
      </c>
      <c r="AL100" s="13">
        <f>IFERROR(VLOOKUP($N100,【管理用】BR_260204!$B$3:$D$20,3,FALSE)*Z100,"-")</f>
        <v>440</v>
      </c>
      <c r="AM100" s="13">
        <f t="shared" si="15"/>
        <v>2200</v>
      </c>
      <c r="AN100" s="37" t="s">
        <v>355</v>
      </c>
      <c r="AP100" s="91"/>
    </row>
    <row r="101" spans="2:42">
      <c r="B101" s="45">
        <f t="shared" si="18"/>
        <v>97</v>
      </c>
      <c r="C101" s="43">
        <v>65</v>
      </c>
      <c r="D101" s="12" t="str">
        <f>IFERROR(VLOOKUP($C101,'【入力用②】案件ごと売上（D案件以上）'!$B$4:$Y$1048576,2,FALSE),"-")</f>
        <v>OKI</v>
      </c>
      <c r="E101" s="12" t="str">
        <f>IFERROR(VLOOKUP($C101,'【入力用②】案件ごと売上（D案件以上）'!$B$4:$Y$1048576,3,FALSE),"-")</f>
        <v>採用＆オンボーディング支援_Ph.2</v>
      </c>
      <c r="F101" s="12" t="str">
        <f>IFERROR(VLOOKUP($C101,'【入力用②】案件ごと売上（D案件以上）'!$B$4:$Y$1048576,4,FALSE),"-")</f>
        <v>65_OKI_採用＆オンボーディング支援_Ph.2</v>
      </c>
      <c r="G101" s="12" t="str">
        <f>IFERROR(VLOOKUP($C101,'【入力用②】案件ごと売上（D案件以上）'!$B$4:$Y$1048576,5,FALSE),"-")</f>
        <v>その他</v>
      </c>
      <c r="H101" s="12" t="str">
        <f>IFERROR(VLOOKUP($C101,'【入力用②】案件ごと売上（D案件以上）'!$B$4:$Y$1048576,6,FALSE),"-")</f>
        <v>B</v>
      </c>
      <c r="I101" s="13">
        <f>IFERROR(VLOOKUP($C101,'【入力用②】案件ごと売上（D案件以上）'!$B$4:$Y$1048576,8,FALSE),"-")</f>
        <v>13000</v>
      </c>
      <c r="J101" s="13">
        <f t="shared" si="17"/>
        <v>7825</v>
      </c>
      <c r="K101" s="57">
        <f t="shared" si="19"/>
        <v>5175</v>
      </c>
      <c r="L101" s="13">
        <f>IFERROR(VLOOKUP($C101,'【入力用②】案件ごと売上（D案件以上）'!$B$4:$Y$1048576,11,FALSE),"-")</f>
        <v>0</v>
      </c>
      <c r="M101" s="13" t="str">
        <f t="shared" si="16"/>
        <v>-</v>
      </c>
      <c r="N101" s="43" t="s">
        <v>492</v>
      </c>
      <c r="O101" s="54"/>
      <c r="P101" s="54"/>
      <c r="Q101" s="54"/>
      <c r="R101" s="54"/>
      <c r="S101" s="54"/>
      <c r="T101" s="54"/>
      <c r="U101" s="54"/>
      <c r="V101" s="54">
        <v>0.4</v>
      </c>
      <c r="W101" s="54">
        <v>0.4</v>
      </c>
      <c r="X101" s="54">
        <v>0.4</v>
      </c>
      <c r="Y101" s="54">
        <v>0.4</v>
      </c>
      <c r="Z101" s="54">
        <v>0.4</v>
      </c>
      <c r="AA101" s="13">
        <f>IFERROR(VLOOKUP($N101,【管理用】BR_260204!$B$3:$D$20,3,FALSE)*O101,"-")</f>
        <v>0</v>
      </c>
      <c r="AB101" s="13">
        <f>IFERROR(VLOOKUP($N101,【管理用】BR_260204!$B$3:$D$20,3,FALSE)*P101,"-")</f>
        <v>0</v>
      </c>
      <c r="AC101" s="13">
        <f>IFERROR(VLOOKUP($N101,【管理用】BR_260204!$B$3:$D$20,3,FALSE)*Q101,"-")</f>
        <v>0</v>
      </c>
      <c r="AD101" s="13">
        <f>IFERROR(VLOOKUP($N101,【管理用】BR_260204!$B$3:$D$20,3,FALSE)*R101,"-")</f>
        <v>0</v>
      </c>
      <c r="AE101" s="13">
        <f>IFERROR(VLOOKUP($N101,【管理用】BR_260204!$B$3:$D$20,3,FALSE)*S101,"-")</f>
        <v>0</v>
      </c>
      <c r="AF101" s="13">
        <f>IFERROR(VLOOKUP($N101,【管理用】BR_260204!$B$3:$D$20,3,FALSE)*T101,"-")</f>
        <v>0</v>
      </c>
      <c r="AG101" s="13">
        <f>IFERROR(VLOOKUP($N101,【管理用】BR_260204!$B$3:$D$20,3,FALSE)*U101,"-")</f>
        <v>0</v>
      </c>
      <c r="AH101" s="13">
        <f>IFERROR(VLOOKUP($N101,【管理用】BR_260204!$B$3:$D$20,3,FALSE)*V101,"-")</f>
        <v>700</v>
      </c>
      <c r="AI101" s="13">
        <f>IFERROR(VLOOKUP($N101,【管理用】BR_260204!$B$3:$D$20,3,FALSE)*W101,"-")</f>
        <v>700</v>
      </c>
      <c r="AJ101" s="13">
        <f>IFERROR(VLOOKUP($N101,【管理用】BR_260204!$B$3:$D$20,3,FALSE)*X101,"-")</f>
        <v>700</v>
      </c>
      <c r="AK101" s="13">
        <f>IFERROR(VLOOKUP($N101,【管理用】BR_260204!$B$3:$D$20,3,FALSE)*Y101,"-")</f>
        <v>700</v>
      </c>
      <c r="AL101" s="13">
        <f>IFERROR(VLOOKUP($N101,【管理用】BR_260204!$B$3:$D$20,3,FALSE)*Z101,"-")</f>
        <v>700</v>
      </c>
      <c r="AM101" s="13">
        <f t="shared" si="15"/>
        <v>3500</v>
      </c>
      <c r="AN101" s="37" t="s">
        <v>355</v>
      </c>
      <c r="AP101" s="91"/>
    </row>
    <row r="102" spans="2:42">
      <c r="B102" s="45">
        <f t="shared" si="18"/>
        <v>98</v>
      </c>
      <c r="C102" s="43">
        <v>63</v>
      </c>
      <c r="D102" s="12" t="str">
        <f>IFERROR(VLOOKUP($C102,'【入力用②】案件ごと売上（D案件以上）'!$B$4:$Y$1048576,2,FALSE),"-")</f>
        <v>三井情報</v>
      </c>
      <c r="E102" s="12" t="str">
        <f>IFERROR(VLOOKUP($C102,'【入力用②】案件ごと売上（D案件以上）'!$B$4:$Y$1048576,3,FALSE),"-")</f>
        <v>キャリア支援ガイドライン設計</v>
      </c>
      <c r="F102" s="12" t="str">
        <f>IFERROR(VLOOKUP($C102,'【入力用②】案件ごと売上（D案件以上）'!$B$4:$Y$1048576,4,FALSE),"-")</f>
        <v>63_三井情報_キャリア支援ガイドライン設計</v>
      </c>
      <c r="G102" s="12" t="str">
        <f>IFERROR(VLOOKUP($C102,'【入力用②】案件ごと売上（D案件以上）'!$B$4:$Y$1048576,5,FALSE),"-")</f>
        <v>人材育成</v>
      </c>
      <c r="H102" s="12" t="str">
        <f>IFERROR(VLOOKUP($C102,'【入力用②】案件ごと売上（D案件以上）'!$B$4:$Y$1048576,6,FALSE),"-")</f>
        <v>A</v>
      </c>
      <c r="I102" s="13">
        <f>IFERROR(VLOOKUP($C102,'【入力用②】案件ごと売上（D案件以上）'!$B$4:$Y$1048576,8,FALSE),"-")</f>
        <v>3000</v>
      </c>
      <c r="J102" s="13">
        <f t="shared" si="17"/>
        <v>2550</v>
      </c>
      <c r="K102" s="57">
        <f t="shared" si="19"/>
        <v>450</v>
      </c>
      <c r="L102" s="13">
        <f>IFERROR(VLOOKUP($C102,'【入力用②】案件ごと売上（D案件以上）'!$B$4:$Y$1048576,11,FALSE),"-")</f>
        <v>2</v>
      </c>
      <c r="M102" s="13">
        <f t="shared" si="16"/>
        <v>1500</v>
      </c>
      <c r="N102" s="43" t="s">
        <v>490</v>
      </c>
      <c r="O102" s="54"/>
      <c r="P102" s="54"/>
      <c r="Q102" s="54"/>
      <c r="R102" s="54"/>
      <c r="S102" s="54"/>
      <c r="T102" s="54"/>
      <c r="U102" s="54"/>
      <c r="V102" s="54">
        <v>0.5</v>
      </c>
      <c r="W102" s="54">
        <v>0.5</v>
      </c>
      <c r="X102" s="54"/>
      <c r="Y102" s="54"/>
      <c r="Z102" s="54"/>
      <c r="AA102" s="13">
        <f>IFERROR(VLOOKUP($N102,【管理用】BR_260204!$B$3:$D$20,3,FALSE)*O102,"-")</f>
        <v>0</v>
      </c>
      <c r="AB102" s="13">
        <f>IFERROR(VLOOKUP($N102,【管理用】BR_260204!$B$3:$D$20,3,FALSE)*P102,"-")</f>
        <v>0</v>
      </c>
      <c r="AC102" s="13">
        <f>IFERROR(VLOOKUP($N102,【管理用】BR_260204!$B$3:$D$20,3,FALSE)*Q102,"-")</f>
        <v>0</v>
      </c>
      <c r="AD102" s="13">
        <f>IFERROR(VLOOKUP($N102,【管理用】BR_260204!$B$3:$D$20,3,FALSE)*R102,"-")</f>
        <v>0</v>
      </c>
      <c r="AE102" s="13">
        <f>IFERROR(VLOOKUP($N102,【管理用】BR_260204!$B$3:$D$20,3,FALSE)*S102,"-")</f>
        <v>0</v>
      </c>
      <c r="AF102" s="13">
        <f>IFERROR(VLOOKUP($N102,【管理用】BR_260204!$B$3:$D$20,3,FALSE)*T102,"-")</f>
        <v>0</v>
      </c>
      <c r="AG102" s="13">
        <f>IFERROR(VLOOKUP($N102,【管理用】BR_260204!$B$3:$D$20,3,FALSE)*U102,"-")</f>
        <v>0</v>
      </c>
      <c r="AH102" s="13">
        <f>IFERROR(VLOOKUP($N102,【管理用】BR_260204!$B$3:$D$20,3,FALSE)*V102,"-")</f>
        <v>1275</v>
      </c>
      <c r="AI102" s="13">
        <f>IFERROR(VLOOKUP($N102,【管理用】BR_260204!$B$3:$D$20,3,FALSE)*W102,"-")</f>
        <v>1275</v>
      </c>
      <c r="AJ102" s="13">
        <f>IFERROR(VLOOKUP($N102,【管理用】BR_260204!$B$3:$D$20,3,FALSE)*X102,"-")</f>
        <v>0</v>
      </c>
      <c r="AK102" s="13">
        <f>IFERROR(VLOOKUP($N102,【管理用】BR_260204!$B$3:$D$20,3,FALSE)*Y102,"-")</f>
        <v>0</v>
      </c>
      <c r="AL102" s="13">
        <f>IFERROR(VLOOKUP($N102,【管理用】BR_260204!$B$3:$D$20,3,FALSE)*Z102,"-")</f>
        <v>0</v>
      </c>
      <c r="AM102" s="13">
        <f t="shared" si="15"/>
        <v>2550</v>
      </c>
      <c r="AN102" s="37" t="s">
        <v>355</v>
      </c>
      <c r="AP102" s="91"/>
    </row>
    <row r="103" spans="2:42">
      <c r="B103" s="45">
        <f t="shared" si="18"/>
        <v>99</v>
      </c>
      <c r="C103" s="43"/>
      <c r="D103" s="12" t="str">
        <f>IFERROR(VLOOKUP($C103,'【入力用②】案件ごと売上（D案件以上）'!$B$4:$Y$1048576,2,FALSE),"-")</f>
        <v>-</v>
      </c>
      <c r="E103" s="12" t="str">
        <f>IFERROR(VLOOKUP($C103,'【入力用②】案件ごと売上（D案件以上）'!$B$4:$Y$1048576,3,FALSE),"-")</f>
        <v>-</v>
      </c>
      <c r="F103" s="12" t="str">
        <f>IFERROR(VLOOKUP($C103,'【入力用②】案件ごと売上（D案件以上）'!$B$4:$Y$1048576,4,FALSE),"-")</f>
        <v>-</v>
      </c>
      <c r="G103" s="12" t="str">
        <f>IFERROR(VLOOKUP($C103,'【入力用②】案件ごと売上（D案件以上）'!$B$4:$Y$1048576,5,FALSE),"-")</f>
        <v>-</v>
      </c>
      <c r="H103" s="12" t="str">
        <f>IFERROR(VLOOKUP($C103,'【入力用②】案件ごと売上（D案件以上）'!$B$4:$Y$1048576,6,FALSE),"-")</f>
        <v>-</v>
      </c>
      <c r="I103" s="13" t="str">
        <f>IFERROR(VLOOKUP($C103,'【入力用②】案件ごと売上（D案件以上）'!$B$4:$Y$1048576,8,FALSE),"-")</f>
        <v>-</v>
      </c>
      <c r="J103" s="13">
        <f t="shared" si="17"/>
        <v>0</v>
      </c>
      <c r="K103" s="57" t="str">
        <f t="shared" si="19"/>
        <v>-</v>
      </c>
      <c r="L103" s="13" t="str">
        <f>IFERROR(VLOOKUP($C103,'【入力用②】案件ごと売上（D案件以上）'!$B$4:$Y$1048576,11,FALSE),"-")</f>
        <v>-</v>
      </c>
      <c r="M103" s="13" t="str">
        <f t="shared" si="16"/>
        <v>-</v>
      </c>
      <c r="N103" s="43"/>
      <c r="O103" s="54"/>
      <c r="P103" s="54"/>
      <c r="Q103" s="54"/>
      <c r="R103" s="54"/>
      <c r="S103" s="54"/>
      <c r="T103" s="54"/>
      <c r="U103" s="54"/>
      <c r="V103" s="54"/>
      <c r="W103" s="54"/>
      <c r="X103" s="54"/>
      <c r="Y103" s="54"/>
      <c r="Z103" s="54"/>
      <c r="AA103" s="13" t="str">
        <f>IFERROR(VLOOKUP($N103,【管理用】BR_260204!$B$3:$D$20,3,FALSE)*O103,"-")</f>
        <v>-</v>
      </c>
      <c r="AB103" s="13" t="str">
        <f>IFERROR(VLOOKUP($N103,【管理用】BR_260204!$B$3:$D$20,3,FALSE)*P103,"-")</f>
        <v>-</v>
      </c>
      <c r="AC103" s="13" t="str">
        <f>IFERROR(VLOOKUP($N103,【管理用】BR_260204!$B$3:$D$20,3,FALSE)*Q103,"-")</f>
        <v>-</v>
      </c>
      <c r="AD103" s="13" t="str">
        <f>IFERROR(VLOOKUP($N103,【管理用】BR_260204!$B$3:$D$20,3,FALSE)*R103,"-")</f>
        <v>-</v>
      </c>
      <c r="AE103" s="13" t="str">
        <f>IFERROR(VLOOKUP($N103,【管理用】BR_260204!$B$3:$D$20,3,FALSE)*S103,"-")</f>
        <v>-</v>
      </c>
      <c r="AF103" s="13" t="str">
        <f>IFERROR(VLOOKUP($N103,【管理用】BR_260204!$B$3:$D$20,3,FALSE)*T103,"-")</f>
        <v>-</v>
      </c>
      <c r="AG103" s="13" t="str">
        <f>IFERROR(VLOOKUP($N103,【管理用】BR_260204!$B$3:$D$20,3,FALSE)*U103,"-")</f>
        <v>-</v>
      </c>
      <c r="AH103" s="13" t="str">
        <f>IFERROR(VLOOKUP($N103,【管理用】BR_260204!$B$3:$D$20,3,FALSE)*V103,"-")</f>
        <v>-</v>
      </c>
      <c r="AI103" s="13" t="str">
        <f>IFERROR(VLOOKUP($N103,【管理用】BR_260204!$B$3:$D$20,3,FALSE)*W103,"-")</f>
        <v>-</v>
      </c>
      <c r="AJ103" s="13" t="str">
        <f>IFERROR(VLOOKUP($N103,【管理用】BR_260204!$B$3:$D$20,3,FALSE)*X103,"-")</f>
        <v>-</v>
      </c>
      <c r="AK103" s="13" t="str">
        <f>IFERROR(VLOOKUP($N103,【管理用】BR_260204!$B$3:$D$20,3,FALSE)*Y103,"-")</f>
        <v>-</v>
      </c>
      <c r="AL103" s="13" t="str">
        <f>IFERROR(VLOOKUP($N103,【管理用】BR_260204!$B$3:$D$20,3,FALSE)*Z103,"-")</f>
        <v>-</v>
      </c>
      <c r="AM103" s="13">
        <f t="shared" si="15"/>
        <v>0</v>
      </c>
      <c r="AN103" s="37" t="s">
        <v>355</v>
      </c>
      <c r="AP103" s="91"/>
    </row>
    <row r="104" spans="2:42">
      <c r="B104" s="45">
        <f t="shared" si="18"/>
        <v>100</v>
      </c>
      <c r="C104" s="43"/>
      <c r="D104" s="12" t="str">
        <f>IFERROR(VLOOKUP($C104,'【入力用②】案件ごと売上（D案件以上）'!$B$4:$Y$1048576,2,FALSE),"-")</f>
        <v>-</v>
      </c>
      <c r="E104" s="12" t="str">
        <f>IFERROR(VLOOKUP($C104,'【入力用②】案件ごと売上（D案件以上）'!$B$4:$Y$1048576,3,FALSE),"-")</f>
        <v>-</v>
      </c>
      <c r="F104" s="12" t="str">
        <f>IFERROR(VLOOKUP($C104,'【入力用②】案件ごと売上（D案件以上）'!$B$4:$Y$1048576,4,FALSE),"-")</f>
        <v>-</v>
      </c>
      <c r="G104" s="12" t="str">
        <f>IFERROR(VLOOKUP($C104,'【入力用②】案件ごと売上（D案件以上）'!$B$4:$Y$1048576,5,FALSE),"-")</f>
        <v>-</v>
      </c>
      <c r="H104" s="12" t="str">
        <f>IFERROR(VLOOKUP($C104,'【入力用②】案件ごと売上（D案件以上）'!$B$4:$Y$1048576,6,FALSE),"-")</f>
        <v>-</v>
      </c>
      <c r="I104" s="13" t="str">
        <f>IFERROR(VLOOKUP($C104,'【入力用②】案件ごと売上（D案件以上）'!$B$4:$Y$1048576,8,FALSE),"-")</f>
        <v>-</v>
      </c>
      <c r="J104" s="13">
        <f t="shared" si="17"/>
        <v>0</v>
      </c>
      <c r="K104" s="57" t="str">
        <f t="shared" si="19"/>
        <v>-</v>
      </c>
      <c r="L104" s="13" t="str">
        <f>IFERROR(VLOOKUP($C104,'【入力用②】案件ごと売上（D案件以上）'!$B$4:$Y$1048576,11,FALSE),"-")</f>
        <v>-</v>
      </c>
      <c r="M104" s="13" t="str">
        <f t="shared" si="16"/>
        <v>-</v>
      </c>
      <c r="N104" s="43"/>
      <c r="O104" s="54"/>
      <c r="P104" s="54"/>
      <c r="Q104" s="54"/>
      <c r="R104" s="54"/>
      <c r="S104" s="54"/>
      <c r="T104" s="54"/>
      <c r="U104" s="54"/>
      <c r="V104" s="54"/>
      <c r="W104" s="54"/>
      <c r="X104" s="54"/>
      <c r="Y104" s="54"/>
      <c r="Z104" s="54"/>
      <c r="AA104" s="13" t="str">
        <f>IFERROR(VLOOKUP($N104,【管理用】BR_260204!$B$3:$D$20,3,FALSE)*O104,"-")</f>
        <v>-</v>
      </c>
      <c r="AB104" s="13" t="str">
        <f>IFERROR(VLOOKUP($N104,【管理用】BR_260204!$B$3:$D$20,3,FALSE)*P104,"-")</f>
        <v>-</v>
      </c>
      <c r="AC104" s="13" t="str">
        <f>IFERROR(VLOOKUP($N104,【管理用】BR_260204!$B$3:$D$20,3,FALSE)*Q104,"-")</f>
        <v>-</v>
      </c>
      <c r="AD104" s="13" t="str">
        <f>IFERROR(VLOOKUP($N104,【管理用】BR_260204!$B$3:$D$20,3,FALSE)*R104,"-")</f>
        <v>-</v>
      </c>
      <c r="AE104" s="13" t="str">
        <f>IFERROR(VLOOKUP($N104,【管理用】BR_260204!$B$3:$D$20,3,FALSE)*S104,"-")</f>
        <v>-</v>
      </c>
      <c r="AF104" s="13" t="str">
        <f>IFERROR(VLOOKUP($N104,【管理用】BR_260204!$B$3:$D$20,3,FALSE)*T104,"-")</f>
        <v>-</v>
      </c>
      <c r="AG104" s="13" t="str">
        <f>IFERROR(VLOOKUP($N104,【管理用】BR_260204!$B$3:$D$20,3,FALSE)*U104,"-")</f>
        <v>-</v>
      </c>
      <c r="AH104" s="13" t="str">
        <f>IFERROR(VLOOKUP($N104,【管理用】BR_260204!$B$3:$D$20,3,FALSE)*V104,"-")</f>
        <v>-</v>
      </c>
      <c r="AI104" s="13" t="str">
        <f>IFERROR(VLOOKUP($N104,【管理用】BR_260204!$B$3:$D$20,3,FALSE)*W104,"-")</f>
        <v>-</v>
      </c>
      <c r="AJ104" s="13" t="str">
        <f>IFERROR(VLOOKUP($N104,【管理用】BR_260204!$B$3:$D$20,3,FALSE)*X104,"-")</f>
        <v>-</v>
      </c>
      <c r="AK104" s="13" t="str">
        <f>IFERROR(VLOOKUP($N104,【管理用】BR_260204!$B$3:$D$20,3,FALSE)*Y104,"-")</f>
        <v>-</v>
      </c>
      <c r="AL104" s="13" t="str">
        <f>IFERROR(VLOOKUP($N104,【管理用】BR_260204!$B$3:$D$20,3,FALSE)*Z104,"-")</f>
        <v>-</v>
      </c>
      <c r="AM104" s="13">
        <f t="shared" si="15"/>
        <v>0</v>
      </c>
      <c r="AN104" s="37" t="s">
        <v>355</v>
      </c>
      <c r="AP104" s="91"/>
    </row>
    <row r="105" spans="2:42">
      <c r="B105" s="45">
        <f t="shared" si="18"/>
        <v>101</v>
      </c>
      <c r="C105" s="43"/>
      <c r="D105" s="12" t="str">
        <f>IFERROR(VLOOKUP($C105,'【入力用②】案件ごと売上（D案件以上）'!$B$4:$Y$1048576,2,FALSE),"-")</f>
        <v>-</v>
      </c>
      <c r="E105" s="12" t="str">
        <f>IFERROR(VLOOKUP($C105,'【入力用②】案件ごと売上（D案件以上）'!$B$4:$Y$1048576,3,FALSE),"-")</f>
        <v>-</v>
      </c>
      <c r="F105" s="12" t="str">
        <f>IFERROR(VLOOKUP($C105,'【入力用②】案件ごと売上（D案件以上）'!$B$4:$Y$1048576,4,FALSE),"-")</f>
        <v>-</v>
      </c>
      <c r="G105" s="12" t="str">
        <f>IFERROR(VLOOKUP($C105,'【入力用②】案件ごと売上（D案件以上）'!$B$4:$Y$1048576,5,FALSE),"-")</f>
        <v>-</v>
      </c>
      <c r="H105" s="12" t="str">
        <f>IFERROR(VLOOKUP($C105,'【入力用②】案件ごと売上（D案件以上）'!$B$4:$Y$1048576,6,FALSE),"-")</f>
        <v>-</v>
      </c>
      <c r="I105" s="13" t="str">
        <f>IFERROR(VLOOKUP($C105,'【入力用②】案件ごと売上（D案件以上）'!$B$4:$Y$1048576,8,FALSE),"-")</f>
        <v>-</v>
      </c>
      <c r="J105" s="13">
        <f t="shared" si="17"/>
        <v>0</v>
      </c>
      <c r="K105" s="57" t="str">
        <f t="shared" si="19"/>
        <v>-</v>
      </c>
      <c r="L105" s="13" t="str">
        <f>IFERROR(VLOOKUP($C105,'【入力用②】案件ごと売上（D案件以上）'!$B$4:$Y$1048576,11,FALSE),"-")</f>
        <v>-</v>
      </c>
      <c r="M105" s="13" t="str">
        <f t="shared" si="16"/>
        <v>-</v>
      </c>
      <c r="N105" s="43"/>
      <c r="O105" s="54"/>
      <c r="P105" s="54"/>
      <c r="Q105" s="54"/>
      <c r="R105" s="54"/>
      <c r="S105" s="54"/>
      <c r="T105" s="54"/>
      <c r="U105" s="54"/>
      <c r="V105" s="54"/>
      <c r="W105" s="54"/>
      <c r="X105" s="54"/>
      <c r="Y105" s="54"/>
      <c r="Z105" s="54"/>
      <c r="AA105" s="13" t="str">
        <f>IFERROR(VLOOKUP($N105,【管理用】BR_260204!$B$3:$D$20,3,FALSE)*O105,"-")</f>
        <v>-</v>
      </c>
      <c r="AB105" s="13" t="str">
        <f>IFERROR(VLOOKUP($N105,【管理用】BR_260204!$B$3:$D$20,3,FALSE)*P105,"-")</f>
        <v>-</v>
      </c>
      <c r="AC105" s="13" t="str">
        <f>IFERROR(VLOOKUP($N105,【管理用】BR_260204!$B$3:$D$20,3,FALSE)*Q105,"-")</f>
        <v>-</v>
      </c>
      <c r="AD105" s="13" t="str">
        <f>IFERROR(VLOOKUP($N105,【管理用】BR_260204!$B$3:$D$20,3,FALSE)*R105,"-")</f>
        <v>-</v>
      </c>
      <c r="AE105" s="13" t="str">
        <f>IFERROR(VLOOKUP($N105,【管理用】BR_260204!$B$3:$D$20,3,FALSE)*S105,"-")</f>
        <v>-</v>
      </c>
      <c r="AF105" s="13" t="str">
        <f>IFERROR(VLOOKUP($N105,【管理用】BR_260204!$B$3:$D$20,3,FALSE)*T105,"-")</f>
        <v>-</v>
      </c>
      <c r="AG105" s="13" t="str">
        <f>IFERROR(VLOOKUP($N105,【管理用】BR_260204!$B$3:$D$20,3,FALSE)*U105,"-")</f>
        <v>-</v>
      </c>
      <c r="AH105" s="13" t="str">
        <f>IFERROR(VLOOKUP($N105,【管理用】BR_260204!$B$3:$D$20,3,FALSE)*V105,"-")</f>
        <v>-</v>
      </c>
      <c r="AI105" s="13" t="str">
        <f>IFERROR(VLOOKUP($N105,【管理用】BR_260204!$B$3:$D$20,3,FALSE)*W105,"-")</f>
        <v>-</v>
      </c>
      <c r="AJ105" s="13" t="str">
        <f>IFERROR(VLOOKUP($N105,【管理用】BR_260204!$B$3:$D$20,3,FALSE)*X105,"-")</f>
        <v>-</v>
      </c>
      <c r="AK105" s="13" t="str">
        <f>IFERROR(VLOOKUP($N105,【管理用】BR_260204!$B$3:$D$20,3,FALSE)*Y105,"-")</f>
        <v>-</v>
      </c>
      <c r="AL105" s="13" t="str">
        <f>IFERROR(VLOOKUP($N105,【管理用】BR_260204!$B$3:$D$20,3,FALSE)*Z105,"-")</f>
        <v>-</v>
      </c>
      <c r="AM105" s="13">
        <f t="shared" si="15"/>
        <v>0</v>
      </c>
      <c r="AN105" s="37" t="s">
        <v>355</v>
      </c>
      <c r="AP105" s="91"/>
    </row>
    <row r="106" spans="2:42">
      <c r="B106" s="45">
        <f t="shared" si="18"/>
        <v>102</v>
      </c>
      <c r="C106" s="43"/>
      <c r="D106" s="12" t="str">
        <f>IFERROR(VLOOKUP($C106,'【入力用②】案件ごと売上（D案件以上）'!$B$4:$Y$1048576,2,FALSE),"-")</f>
        <v>-</v>
      </c>
      <c r="E106" s="12" t="str">
        <f>IFERROR(VLOOKUP($C106,'【入力用②】案件ごと売上（D案件以上）'!$B$4:$Y$1048576,3,FALSE),"-")</f>
        <v>-</v>
      </c>
      <c r="F106" s="12" t="str">
        <f>IFERROR(VLOOKUP($C106,'【入力用②】案件ごと売上（D案件以上）'!$B$4:$Y$1048576,4,FALSE),"-")</f>
        <v>-</v>
      </c>
      <c r="G106" s="12" t="str">
        <f>IFERROR(VLOOKUP($C106,'【入力用②】案件ごと売上（D案件以上）'!$B$4:$Y$1048576,5,FALSE),"-")</f>
        <v>-</v>
      </c>
      <c r="H106" s="12" t="str">
        <f>IFERROR(VLOOKUP($C106,'【入力用②】案件ごと売上（D案件以上）'!$B$4:$Y$1048576,6,FALSE),"-")</f>
        <v>-</v>
      </c>
      <c r="I106" s="13" t="str">
        <f>IFERROR(VLOOKUP($C106,'【入力用②】案件ごと売上（D案件以上）'!$B$4:$Y$1048576,8,FALSE),"-")</f>
        <v>-</v>
      </c>
      <c r="J106" s="13">
        <f t="shared" ref="J106:J137" si="22">SUMIF($C$5:$C$1048576,C106,$AM$5:$AM$1048576)</f>
        <v>0</v>
      </c>
      <c r="K106" s="57" t="str">
        <f t="shared" si="19"/>
        <v>-</v>
      </c>
      <c r="L106" s="13" t="str">
        <f>IFERROR(VLOOKUP($C106,'【入力用②】案件ごと売上（D案件以上）'!$B$4:$Y$1048576,11,FALSE),"-")</f>
        <v>-</v>
      </c>
      <c r="M106" s="13" t="str">
        <f t="shared" si="16"/>
        <v>-</v>
      </c>
      <c r="N106" s="43"/>
      <c r="O106" s="54"/>
      <c r="P106" s="54"/>
      <c r="Q106" s="54"/>
      <c r="R106" s="54"/>
      <c r="S106" s="54"/>
      <c r="T106" s="54"/>
      <c r="U106" s="54"/>
      <c r="V106" s="54"/>
      <c r="W106" s="54"/>
      <c r="X106" s="54"/>
      <c r="Y106" s="54"/>
      <c r="Z106" s="54"/>
      <c r="AA106" s="13" t="str">
        <f>IFERROR(VLOOKUP($N106,【管理用】BR_260204!$B$3:$D$20,3,FALSE)*O106,"-")</f>
        <v>-</v>
      </c>
      <c r="AB106" s="13" t="str">
        <f>IFERROR(VLOOKUP($N106,【管理用】BR_260204!$B$3:$D$20,3,FALSE)*P106,"-")</f>
        <v>-</v>
      </c>
      <c r="AC106" s="13" t="str">
        <f>IFERROR(VLOOKUP($N106,【管理用】BR_260204!$B$3:$D$20,3,FALSE)*Q106,"-")</f>
        <v>-</v>
      </c>
      <c r="AD106" s="13" t="str">
        <f>IFERROR(VLOOKUP($N106,【管理用】BR_260204!$B$3:$D$20,3,FALSE)*R106,"-")</f>
        <v>-</v>
      </c>
      <c r="AE106" s="13" t="str">
        <f>IFERROR(VLOOKUP($N106,【管理用】BR_260204!$B$3:$D$20,3,FALSE)*S106,"-")</f>
        <v>-</v>
      </c>
      <c r="AF106" s="13" t="str">
        <f>IFERROR(VLOOKUP($N106,【管理用】BR_260204!$B$3:$D$20,3,FALSE)*T106,"-")</f>
        <v>-</v>
      </c>
      <c r="AG106" s="13" t="str">
        <f>IFERROR(VLOOKUP($N106,【管理用】BR_260204!$B$3:$D$20,3,FALSE)*U106,"-")</f>
        <v>-</v>
      </c>
      <c r="AH106" s="13" t="str">
        <f>IFERROR(VLOOKUP($N106,【管理用】BR_260204!$B$3:$D$20,3,FALSE)*V106,"-")</f>
        <v>-</v>
      </c>
      <c r="AI106" s="13" t="str">
        <f>IFERROR(VLOOKUP($N106,【管理用】BR_260204!$B$3:$D$20,3,FALSE)*W106,"-")</f>
        <v>-</v>
      </c>
      <c r="AJ106" s="13" t="str">
        <f>IFERROR(VLOOKUP($N106,【管理用】BR_260204!$B$3:$D$20,3,FALSE)*X106,"-")</f>
        <v>-</v>
      </c>
      <c r="AK106" s="13" t="str">
        <f>IFERROR(VLOOKUP($N106,【管理用】BR_260204!$B$3:$D$20,3,FALSE)*Y106,"-")</f>
        <v>-</v>
      </c>
      <c r="AL106" s="13" t="str">
        <f>IFERROR(VLOOKUP($N106,【管理用】BR_260204!$B$3:$D$20,3,FALSE)*Z106,"-")</f>
        <v>-</v>
      </c>
      <c r="AM106" s="13">
        <f t="shared" si="15"/>
        <v>0</v>
      </c>
      <c r="AN106" s="37" t="s">
        <v>355</v>
      </c>
      <c r="AP106" s="91"/>
    </row>
    <row r="107" spans="2:42">
      <c r="B107" s="45">
        <f t="shared" si="18"/>
        <v>103</v>
      </c>
      <c r="C107" s="43"/>
      <c r="D107" s="12" t="str">
        <f>IFERROR(VLOOKUP($C107,'【入力用②】案件ごと売上（D案件以上）'!$B$4:$Y$1048576,2,FALSE),"-")</f>
        <v>-</v>
      </c>
      <c r="E107" s="12" t="str">
        <f>IFERROR(VLOOKUP($C107,'【入力用②】案件ごと売上（D案件以上）'!$B$4:$Y$1048576,3,FALSE),"-")</f>
        <v>-</v>
      </c>
      <c r="F107" s="12" t="str">
        <f>IFERROR(VLOOKUP($C107,'【入力用②】案件ごと売上（D案件以上）'!$B$4:$Y$1048576,4,FALSE),"-")</f>
        <v>-</v>
      </c>
      <c r="G107" s="12" t="str">
        <f>IFERROR(VLOOKUP($C107,'【入力用②】案件ごと売上（D案件以上）'!$B$4:$Y$1048576,5,FALSE),"-")</f>
        <v>-</v>
      </c>
      <c r="H107" s="12" t="str">
        <f>IFERROR(VLOOKUP($C107,'【入力用②】案件ごと売上（D案件以上）'!$B$4:$Y$1048576,6,FALSE),"-")</f>
        <v>-</v>
      </c>
      <c r="I107" s="13" t="str">
        <f>IFERROR(VLOOKUP($C107,'【入力用②】案件ごと売上（D案件以上）'!$B$4:$Y$1048576,8,FALSE),"-")</f>
        <v>-</v>
      </c>
      <c r="J107" s="13">
        <f t="shared" si="22"/>
        <v>0</v>
      </c>
      <c r="K107" s="57" t="str">
        <f t="shared" si="19"/>
        <v>-</v>
      </c>
      <c r="L107" s="13" t="str">
        <f>IFERROR(VLOOKUP($C107,'【入力用②】案件ごと売上（D案件以上）'!$B$4:$Y$1048576,11,FALSE),"-")</f>
        <v>-</v>
      </c>
      <c r="M107" s="13" t="str">
        <f t="shared" si="16"/>
        <v>-</v>
      </c>
      <c r="N107" s="43"/>
      <c r="O107" s="54"/>
      <c r="P107" s="54"/>
      <c r="Q107" s="54"/>
      <c r="R107" s="54"/>
      <c r="S107" s="54"/>
      <c r="T107" s="54"/>
      <c r="U107" s="54"/>
      <c r="V107" s="54"/>
      <c r="W107" s="54"/>
      <c r="X107" s="54"/>
      <c r="Y107" s="54"/>
      <c r="Z107" s="54"/>
      <c r="AA107" s="13" t="str">
        <f>IFERROR(VLOOKUP($N107,【管理用】BR_260204!$B$3:$D$20,3,FALSE)*O107,"-")</f>
        <v>-</v>
      </c>
      <c r="AB107" s="13" t="str">
        <f>IFERROR(VLOOKUP($N107,【管理用】BR_260204!$B$3:$D$20,3,FALSE)*P107,"-")</f>
        <v>-</v>
      </c>
      <c r="AC107" s="13" t="str">
        <f>IFERROR(VLOOKUP($N107,【管理用】BR_260204!$B$3:$D$20,3,FALSE)*Q107,"-")</f>
        <v>-</v>
      </c>
      <c r="AD107" s="13" t="str">
        <f>IFERROR(VLOOKUP($N107,【管理用】BR_260204!$B$3:$D$20,3,FALSE)*R107,"-")</f>
        <v>-</v>
      </c>
      <c r="AE107" s="13" t="str">
        <f>IFERROR(VLOOKUP($N107,【管理用】BR_260204!$B$3:$D$20,3,FALSE)*S107,"-")</f>
        <v>-</v>
      </c>
      <c r="AF107" s="13" t="str">
        <f>IFERROR(VLOOKUP($N107,【管理用】BR_260204!$B$3:$D$20,3,FALSE)*T107,"-")</f>
        <v>-</v>
      </c>
      <c r="AG107" s="13" t="str">
        <f>IFERROR(VLOOKUP($N107,【管理用】BR_260204!$B$3:$D$20,3,FALSE)*U107,"-")</f>
        <v>-</v>
      </c>
      <c r="AH107" s="13" t="str">
        <f>IFERROR(VLOOKUP($N107,【管理用】BR_260204!$B$3:$D$20,3,FALSE)*V107,"-")</f>
        <v>-</v>
      </c>
      <c r="AI107" s="13" t="str">
        <f>IFERROR(VLOOKUP($N107,【管理用】BR_260204!$B$3:$D$20,3,FALSE)*W107,"-")</f>
        <v>-</v>
      </c>
      <c r="AJ107" s="13" t="str">
        <f>IFERROR(VLOOKUP($N107,【管理用】BR_260204!$B$3:$D$20,3,FALSE)*X107,"-")</f>
        <v>-</v>
      </c>
      <c r="AK107" s="13" t="str">
        <f>IFERROR(VLOOKUP($N107,【管理用】BR_260204!$B$3:$D$20,3,FALSE)*Y107,"-")</f>
        <v>-</v>
      </c>
      <c r="AL107" s="13" t="str">
        <f>IFERROR(VLOOKUP($N107,【管理用】BR_260204!$B$3:$D$20,3,FALSE)*Z107,"-")</f>
        <v>-</v>
      </c>
      <c r="AM107" s="13">
        <f t="shared" si="15"/>
        <v>0</v>
      </c>
      <c r="AN107" s="37" t="s">
        <v>355</v>
      </c>
      <c r="AP107" s="91"/>
    </row>
    <row r="108" spans="2:42">
      <c r="B108" s="45">
        <f t="shared" si="18"/>
        <v>104</v>
      </c>
      <c r="C108" s="43"/>
      <c r="D108" s="12" t="str">
        <f>IFERROR(VLOOKUP($C108,'【入力用②】案件ごと売上（D案件以上）'!$B$4:$Y$1048576,2,FALSE),"-")</f>
        <v>-</v>
      </c>
      <c r="E108" s="12" t="str">
        <f>IFERROR(VLOOKUP($C108,'【入力用②】案件ごと売上（D案件以上）'!$B$4:$Y$1048576,3,FALSE),"-")</f>
        <v>-</v>
      </c>
      <c r="F108" s="12" t="str">
        <f>IFERROR(VLOOKUP($C108,'【入力用②】案件ごと売上（D案件以上）'!$B$4:$Y$1048576,4,FALSE),"-")</f>
        <v>-</v>
      </c>
      <c r="G108" s="12" t="str">
        <f>IFERROR(VLOOKUP($C108,'【入力用②】案件ごと売上（D案件以上）'!$B$4:$Y$1048576,5,FALSE),"-")</f>
        <v>-</v>
      </c>
      <c r="H108" s="12" t="str">
        <f>IFERROR(VLOOKUP($C108,'【入力用②】案件ごと売上（D案件以上）'!$B$4:$Y$1048576,6,FALSE),"-")</f>
        <v>-</v>
      </c>
      <c r="I108" s="13" t="str">
        <f>IFERROR(VLOOKUP($C108,'【入力用②】案件ごと売上（D案件以上）'!$B$4:$Y$1048576,8,FALSE),"-")</f>
        <v>-</v>
      </c>
      <c r="J108" s="13">
        <f t="shared" si="22"/>
        <v>0</v>
      </c>
      <c r="K108" s="57" t="str">
        <f t="shared" si="19"/>
        <v>-</v>
      </c>
      <c r="L108" s="13" t="str">
        <f>IFERROR(VLOOKUP($C108,'【入力用②】案件ごと売上（D案件以上）'!$B$4:$Y$1048576,11,FALSE),"-")</f>
        <v>-</v>
      </c>
      <c r="M108" s="13" t="str">
        <f t="shared" si="16"/>
        <v>-</v>
      </c>
      <c r="N108" s="43"/>
      <c r="O108" s="54"/>
      <c r="P108" s="54"/>
      <c r="Q108" s="54"/>
      <c r="R108" s="54"/>
      <c r="S108" s="54"/>
      <c r="T108" s="54"/>
      <c r="U108" s="54"/>
      <c r="V108" s="54"/>
      <c r="W108" s="54"/>
      <c r="X108" s="54"/>
      <c r="Y108" s="54"/>
      <c r="Z108" s="54"/>
      <c r="AA108" s="13" t="str">
        <f>IFERROR(VLOOKUP($N108,【管理用】BR_260204!$B$3:$D$20,3,FALSE)*O108,"-")</f>
        <v>-</v>
      </c>
      <c r="AB108" s="13" t="str">
        <f>IFERROR(VLOOKUP($N108,【管理用】BR_260204!$B$3:$D$20,3,FALSE)*P108,"-")</f>
        <v>-</v>
      </c>
      <c r="AC108" s="13" t="str">
        <f>IFERROR(VLOOKUP($N108,【管理用】BR_260204!$B$3:$D$20,3,FALSE)*Q108,"-")</f>
        <v>-</v>
      </c>
      <c r="AD108" s="13" t="str">
        <f>IFERROR(VLOOKUP($N108,【管理用】BR_260204!$B$3:$D$20,3,FALSE)*R108,"-")</f>
        <v>-</v>
      </c>
      <c r="AE108" s="13" t="str">
        <f>IFERROR(VLOOKUP($N108,【管理用】BR_260204!$B$3:$D$20,3,FALSE)*S108,"-")</f>
        <v>-</v>
      </c>
      <c r="AF108" s="13" t="str">
        <f>IFERROR(VLOOKUP($N108,【管理用】BR_260204!$B$3:$D$20,3,FALSE)*T108,"-")</f>
        <v>-</v>
      </c>
      <c r="AG108" s="13" t="str">
        <f>IFERROR(VLOOKUP($N108,【管理用】BR_260204!$B$3:$D$20,3,FALSE)*U108,"-")</f>
        <v>-</v>
      </c>
      <c r="AH108" s="13" t="str">
        <f>IFERROR(VLOOKUP($N108,【管理用】BR_260204!$B$3:$D$20,3,FALSE)*V108,"-")</f>
        <v>-</v>
      </c>
      <c r="AI108" s="13" t="str">
        <f>IFERROR(VLOOKUP($N108,【管理用】BR_260204!$B$3:$D$20,3,FALSE)*W108,"-")</f>
        <v>-</v>
      </c>
      <c r="AJ108" s="13" t="str">
        <f>IFERROR(VLOOKUP($N108,【管理用】BR_260204!$B$3:$D$20,3,FALSE)*X108,"-")</f>
        <v>-</v>
      </c>
      <c r="AK108" s="13" t="str">
        <f>IFERROR(VLOOKUP($N108,【管理用】BR_260204!$B$3:$D$20,3,FALSE)*Y108,"-")</f>
        <v>-</v>
      </c>
      <c r="AL108" s="13" t="str">
        <f>IFERROR(VLOOKUP($N108,【管理用】BR_260204!$B$3:$D$20,3,FALSE)*Z108,"-")</f>
        <v>-</v>
      </c>
      <c r="AM108" s="13">
        <f t="shared" si="15"/>
        <v>0</v>
      </c>
      <c r="AN108" s="37" t="s">
        <v>355</v>
      </c>
      <c r="AP108" s="91"/>
    </row>
    <row r="109" spans="2:42">
      <c r="B109" s="45">
        <f t="shared" si="18"/>
        <v>105</v>
      </c>
      <c r="C109" s="43"/>
      <c r="D109" s="12" t="str">
        <f>IFERROR(VLOOKUP($C109,'【入力用②】案件ごと売上（D案件以上）'!$B$4:$Y$1048576,2,FALSE),"-")</f>
        <v>-</v>
      </c>
      <c r="E109" s="12" t="str">
        <f>IFERROR(VLOOKUP($C109,'【入力用②】案件ごと売上（D案件以上）'!$B$4:$Y$1048576,3,FALSE),"-")</f>
        <v>-</v>
      </c>
      <c r="F109" s="12" t="str">
        <f>IFERROR(VLOOKUP($C109,'【入力用②】案件ごと売上（D案件以上）'!$B$4:$Y$1048576,4,FALSE),"-")</f>
        <v>-</v>
      </c>
      <c r="G109" s="12" t="str">
        <f>IFERROR(VLOOKUP($C109,'【入力用②】案件ごと売上（D案件以上）'!$B$4:$Y$1048576,5,FALSE),"-")</f>
        <v>-</v>
      </c>
      <c r="H109" s="12" t="str">
        <f>IFERROR(VLOOKUP($C109,'【入力用②】案件ごと売上（D案件以上）'!$B$4:$Y$1048576,6,FALSE),"-")</f>
        <v>-</v>
      </c>
      <c r="I109" s="13" t="str">
        <f>IFERROR(VLOOKUP($C109,'【入力用②】案件ごと売上（D案件以上）'!$B$4:$Y$1048576,8,FALSE),"-")</f>
        <v>-</v>
      </c>
      <c r="J109" s="13">
        <f t="shared" si="22"/>
        <v>0</v>
      </c>
      <c r="K109" s="57" t="str">
        <f t="shared" si="19"/>
        <v>-</v>
      </c>
      <c r="L109" s="13" t="str">
        <f>IFERROR(VLOOKUP($C109,'【入力用②】案件ごと売上（D案件以上）'!$B$4:$Y$1048576,11,FALSE),"-")</f>
        <v>-</v>
      </c>
      <c r="M109" s="13" t="str">
        <f t="shared" si="16"/>
        <v>-</v>
      </c>
      <c r="N109" s="43"/>
      <c r="O109" s="54"/>
      <c r="P109" s="54"/>
      <c r="Q109" s="54"/>
      <c r="R109" s="54"/>
      <c r="S109" s="54"/>
      <c r="T109" s="54"/>
      <c r="U109" s="54"/>
      <c r="V109" s="54"/>
      <c r="W109" s="54"/>
      <c r="X109" s="54"/>
      <c r="Y109" s="54"/>
      <c r="Z109" s="54"/>
      <c r="AA109" s="13" t="str">
        <f>IFERROR(VLOOKUP($N109,【管理用】BR_260204!$B$3:$D$20,3,FALSE)*O109,"-")</f>
        <v>-</v>
      </c>
      <c r="AB109" s="13" t="str">
        <f>IFERROR(VLOOKUP($N109,【管理用】BR_260204!$B$3:$D$20,3,FALSE)*P109,"-")</f>
        <v>-</v>
      </c>
      <c r="AC109" s="13" t="str">
        <f>IFERROR(VLOOKUP($N109,【管理用】BR_260204!$B$3:$D$20,3,FALSE)*Q109,"-")</f>
        <v>-</v>
      </c>
      <c r="AD109" s="13" t="str">
        <f>IFERROR(VLOOKUP($N109,【管理用】BR_260204!$B$3:$D$20,3,FALSE)*R109,"-")</f>
        <v>-</v>
      </c>
      <c r="AE109" s="13" t="str">
        <f>IFERROR(VLOOKUP($N109,【管理用】BR_260204!$B$3:$D$20,3,FALSE)*S109,"-")</f>
        <v>-</v>
      </c>
      <c r="AF109" s="13" t="str">
        <f>IFERROR(VLOOKUP($N109,【管理用】BR_260204!$B$3:$D$20,3,FALSE)*T109,"-")</f>
        <v>-</v>
      </c>
      <c r="AG109" s="13" t="str">
        <f>IFERROR(VLOOKUP($N109,【管理用】BR_260204!$B$3:$D$20,3,FALSE)*U109,"-")</f>
        <v>-</v>
      </c>
      <c r="AH109" s="13" t="str">
        <f>IFERROR(VLOOKUP($N109,【管理用】BR_260204!$B$3:$D$20,3,FALSE)*V109,"-")</f>
        <v>-</v>
      </c>
      <c r="AI109" s="13" t="str">
        <f>IFERROR(VLOOKUP($N109,【管理用】BR_260204!$B$3:$D$20,3,FALSE)*W109,"-")</f>
        <v>-</v>
      </c>
      <c r="AJ109" s="13" t="str">
        <f>IFERROR(VLOOKUP($N109,【管理用】BR_260204!$B$3:$D$20,3,FALSE)*X109,"-")</f>
        <v>-</v>
      </c>
      <c r="AK109" s="13" t="str">
        <f>IFERROR(VLOOKUP($N109,【管理用】BR_260204!$B$3:$D$20,3,FALSE)*Y109,"-")</f>
        <v>-</v>
      </c>
      <c r="AL109" s="13" t="str">
        <f>IFERROR(VLOOKUP($N109,【管理用】BR_260204!$B$3:$D$20,3,FALSE)*Z109,"-")</f>
        <v>-</v>
      </c>
      <c r="AM109" s="13">
        <f t="shared" si="15"/>
        <v>0</v>
      </c>
      <c r="AN109" s="37" t="s">
        <v>355</v>
      </c>
      <c r="AP109" s="91"/>
    </row>
    <row r="110" spans="2:42">
      <c r="B110" s="45">
        <f t="shared" si="18"/>
        <v>106</v>
      </c>
      <c r="C110" s="43"/>
      <c r="D110" s="12" t="str">
        <f>IFERROR(VLOOKUP($C110,'【入力用②】案件ごと売上（D案件以上）'!$B$4:$Y$1048576,2,FALSE),"-")</f>
        <v>-</v>
      </c>
      <c r="E110" s="12" t="str">
        <f>IFERROR(VLOOKUP($C110,'【入力用②】案件ごと売上（D案件以上）'!$B$4:$Y$1048576,3,FALSE),"-")</f>
        <v>-</v>
      </c>
      <c r="F110" s="12" t="str">
        <f>IFERROR(VLOOKUP($C110,'【入力用②】案件ごと売上（D案件以上）'!$B$4:$Y$1048576,4,FALSE),"-")</f>
        <v>-</v>
      </c>
      <c r="G110" s="12" t="str">
        <f>IFERROR(VLOOKUP($C110,'【入力用②】案件ごと売上（D案件以上）'!$B$4:$Y$1048576,5,FALSE),"-")</f>
        <v>-</v>
      </c>
      <c r="H110" s="12" t="str">
        <f>IFERROR(VLOOKUP($C110,'【入力用②】案件ごと売上（D案件以上）'!$B$4:$Y$1048576,6,FALSE),"-")</f>
        <v>-</v>
      </c>
      <c r="I110" s="13" t="str">
        <f>IFERROR(VLOOKUP($C110,'【入力用②】案件ごと売上（D案件以上）'!$B$4:$Y$1048576,8,FALSE),"-")</f>
        <v>-</v>
      </c>
      <c r="J110" s="13">
        <f t="shared" si="22"/>
        <v>0</v>
      </c>
      <c r="K110" s="57" t="str">
        <f t="shared" si="19"/>
        <v>-</v>
      </c>
      <c r="L110" s="13" t="str">
        <f>IFERROR(VLOOKUP($C110,'【入力用②】案件ごと売上（D案件以上）'!$B$4:$Y$1048576,11,FALSE),"-")</f>
        <v>-</v>
      </c>
      <c r="M110" s="13" t="str">
        <f t="shared" si="16"/>
        <v>-</v>
      </c>
      <c r="N110" s="43"/>
      <c r="O110" s="54"/>
      <c r="P110" s="54"/>
      <c r="Q110" s="54"/>
      <c r="R110" s="54"/>
      <c r="S110" s="54"/>
      <c r="T110" s="54"/>
      <c r="U110" s="54"/>
      <c r="V110" s="54"/>
      <c r="W110" s="54"/>
      <c r="X110" s="54"/>
      <c r="Y110" s="54"/>
      <c r="Z110" s="54"/>
      <c r="AA110" s="13" t="str">
        <f>IFERROR(VLOOKUP($N110,【管理用】BR_260204!$B$3:$D$20,3,FALSE)*O110,"-")</f>
        <v>-</v>
      </c>
      <c r="AB110" s="13" t="str">
        <f>IFERROR(VLOOKUP($N110,【管理用】BR_260204!$B$3:$D$20,3,FALSE)*P110,"-")</f>
        <v>-</v>
      </c>
      <c r="AC110" s="13" t="str">
        <f>IFERROR(VLOOKUP($N110,【管理用】BR_260204!$B$3:$D$20,3,FALSE)*Q110,"-")</f>
        <v>-</v>
      </c>
      <c r="AD110" s="13" t="str">
        <f>IFERROR(VLOOKUP($N110,【管理用】BR_260204!$B$3:$D$20,3,FALSE)*R110,"-")</f>
        <v>-</v>
      </c>
      <c r="AE110" s="13" t="str">
        <f>IFERROR(VLOOKUP($N110,【管理用】BR_260204!$B$3:$D$20,3,FALSE)*S110,"-")</f>
        <v>-</v>
      </c>
      <c r="AF110" s="13" t="str">
        <f>IFERROR(VLOOKUP($N110,【管理用】BR_260204!$B$3:$D$20,3,FALSE)*T110,"-")</f>
        <v>-</v>
      </c>
      <c r="AG110" s="13" t="str">
        <f>IFERROR(VLOOKUP($N110,【管理用】BR_260204!$B$3:$D$20,3,FALSE)*U110,"-")</f>
        <v>-</v>
      </c>
      <c r="AH110" s="13" t="str">
        <f>IFERROR(VLOOKUP($N110,【管理用】BR_260204!$B$3:$D$20,3,FALSE)*V110,"-")</f>
        <v>-</v>
      </c>
      <c r="AI110" s="13" t="str">
        <f>IFERROR(VLOOKUP($N110,【管理用】BR_260204!$B$3:$D$20,3,FALSE)*W110,"-")</f>
        <v>-</v>
      </c>
      <c r="AJ110" s="13" t="str">
        <f>IFERROR(VLOOKUP($N110,【管理用】BR_260204!$B$3:$D$20,3,FALSE)*X110,"-")</f>
        <v>-</v>
      </c>
      <c r="AK110" s="13" t="str">
        <f>IFERROR(VLOOKUP($N110,【管理用】BR_260204!$B$3:$D$20,3,FALSE)*Y110,"-")</f>
        <v>-</v>
      </c>
      <c r="AL110" s="13" t="str">
        <f>IFERROR(VLOOKUP($N110,【管理用】BR_260204!$B$3:$D$20,3,FALSE)*Z110,"-")</f>
        <v>-</v>
      </c>
      <c r="AM110" s="13">
        <f t="shared" si="15"/>
        <v>0</v>
      </c>
      <c r="AN110" s="37" t="s">
        <v>355</v>
      </c>
      <c r="AP110" s="91"/>
    </row>
    <row r="111" spans="2:42">
      <c r="B111" s="45">
        <f t="shared" ref="B111:B142" si="23">ROW(A111)-4</f>
        <v>107</v>
      </c>
      <c r="C111" s="43"/>
      <c r="D111" s="12" t="str">
        <f>IFERROR(VLOOKUP($C111,'【入力用②】案件ごと売上（D案件以上）'!$B$4:$Y$1048576,2,FALSE),"-")</f>
        <v>-</v>
      </c>
      <c r="E111" s="12" t="str">
        <f>IFERROR(VLOOKUP($C111,'【入力用②】案件ごと売上（D案件以上）'!$B$4:$Y$1048576,3,FALSE),"-")</f>
        <v>-</v>
      </c>
      <c r="F111" s="12" t="str">
        <f>IFERROR(VLOOKUP($C111,'【入力用②】案件ごと売上（D案件以上）'!$B$4:$Y$1048576,4,FALSE),"-")</f>
        <v>-</v>
      </c>
      <c r="G111" s="12" t="str">
        <f>IFERROR(VLOOKUP($C111,'【入力用②】案件ごと売上（D案件以上）'!$B$4:$Y$1048576,5,FALSE),"-")</f>
        <v>-</v>
      </c>
      <c r="H111" s="12" t="str">
        <f>IFERROR(VLOOKUP($C111,'【入力用②】案件ごと売上（D案件以上）'!$B$4:$Y$1048576,6,FALSE),"-")</f>
        <v>-</v>
      </c>
      <c r="I111" s="13" t="str">
        <f>IFERROR(VLOOKUP($C111,'【入力用②】案件ごと売上（D案件以上）'!$B$4:$Y$1048576,8,FALSE),"-")</f>
        <v>-</v>
      </c>
      <c r="J111" s="13">
        <f t="shared" si="22"/>
        <v>0</v>
      </c>
      <c r="K111" s="57" t="str">
        <f t="shared" si="19"/>
        <v>-</v>
      </c>
      <c r="L111" s="13" t="str">
        <f>IFERROR(VLOOKUP($C111,'【入力用②】案件ごと売上（D案件以上）'!$B$4:$Y$1048576,11,FALSE),"-")</f>
        <v>-</v>
      </c>
      <c r="M111" s="13" t="str">
        <f t="shared" si="16"/>
        <v>-</v>
      </c>
      <c r="N111" s="43"/>
      <c r="O111" s="54"/>
      <c r="P111" s="54"/>
      <c r="Q111" s="54"/>
      <c r="R111" s="54"/>
      <c r="S111" s="54"/>
      <c r="T111" s="54"/>
      <c r="U111" s="54"/>
      <c r="V111" s="54"/>
      <c r="W111" s="54"/>
      <c r="X111" s="54"/>
      <c r="Y111" s="54"/>
      <c r="Z111" s="54"/>
      <c r="AA111" s="13" t="str">
        <f>IFERROR(VLOOKUP($N111,【管理用】BR_260204!$B$3:$D$20,3,FALSE)*O111,"-")</f>
        <v>-</v>
      </c>
      <c r="AB111" s="13" t="str">
        <f>IFERROR(VLOOKUP($N111,【管理用】BR_260204!$B$3:$D$20,3,FALSE)*P111,"-")</f>
        <v>-</v>
      </c>
      <c r="AC111" s="13" t="str">
        <f>IFERROR(VLOOKUP($N111,【管理用】BR_260204!$B$3:$D$20,3,FALSE)*Q111,"-")</f>
        <v>-</v>
      </c>
      <c r="AD111" s="13" t="str">
        <f>IFERROR(VLOOKUP($N111,【管理用】BR_260204!$B$3:$D$20,3,FALSE)*R111,"-")</f>
        <v>-</v>
      </c>
      <c r="AE111" s="13" t="str">
        <f>IFERROR(VLOOKUP($N111,【管理用】BR_260204!$B$3:$D$20,3,FALSE)*S111,"-")</f>
        <v>-</v>
      </c>
      <c r="AF111" s="13" t="str">
        <f>IFERROR(VLOOKUP($N111,【管理用】BR_260204!$B$3:$D$20,3,FALSE)*T111,"-")</f>
        <v>-</v>
      </c>
      <c r="AG111" s="13" t="str">
        <f>IFERROR(VLOOKUP($N111,【管理用】BR_260204!$B$3:$D$20,3,FALSE)*U111,"-")</f>
        <v>-</v>
      </c>
      <c r="AH111" s="13" t="str">
        <f>IFERROR(VLOOKUP($N111,【管理用】BR_260204!$B$3:$D$20,3,FALSE)*V111,"-")</f>
        <v>-</v>
      </c>
      <c r="AI111" s="13" t="str">
        <f>IFERROR(VLOOKUP($N111,【管理用】BR_260204!$B$3:$D$20,3,FALSE)*W111,"-")</f>
        <v>-</v>
      </c>
      <c r="AJ111" s="13" t="str">
        <f>IFERROR(VLOOKUP($N111,【管理用】BR_260204!$B$3:$D$20,3,FALSE)*X111,"-")</f>
        <v>-</v>
      </c>
      <c r="AK111" s="13" t="str">
        <f>IFERROR(VLOOKUP($N111,【管理用】BR_260204!$B$3:$D$20,3,FALSE)*Y111,"-")</f>
        <v>-</v>
      </c>
      <c r="AL111" s="13" t="str">
        <f>IFERROR(VLOOKUP($N111,【管理用】BR_260204!$B$3:$D$20,3,FALSE)*Z111,"-")</f>
        <v>-</v>
      </c>
      <c r="AM111" s="13">
        <f t="shared" si="15"/>
        <v>0</v>
      </c>
      <c r="AN111" s="37" t="s">
        <v>355</v>
      </c>
      <c r="AP111" s="91"/>
    </row>
    <row r="112" spans="2:42">
      <c r="B112" s="45">
        <f t="shared" si="23"/>
        <v>108</v>
      </c>
      <c r="C112" s="43"/>
      <c r="D112" s="12" t="str">
        <f>IFERROR(VLOOKUP($C112,'【入力用②】案件ごと売上（D案件以上）'!$B$4:$Y$1048576,2,FALSE),"-")</f>
        <v>-</v>
      </c>
      <c r="E112" s="12" t="str">
        <f>IFERROR(VLOOKUP($C112,'【入力用②】案件ごと売上（D案件以上）'!$B$4:$Y$1048576,3,FALSE),"-")</f>
        <v>-</v>
      </c>
      <c r="F112" s="12" t="str">
        <f>IFERROR(VLOOKUP($C112,'【入力用②】案件ごと売上（D案件以上）'!$B$4:$Y$1048576,4,FALSE),"-")</f>
        <v>-</v>
      </c>
      <c r="G112" s="12" t="str">
        <f>IFERROR(VLOOKUP($C112,'【入力用②】案件ごと売上（D案件以上）'!$B$4:$Y$1048576,5,FALSE),"-")</f>
        <v>-</v>
      </c>
      <c r="H112" s="12" t="str">
        <f>IFERROR(VLOOKUP($C112,'【入力用②】案件ごと売上（D案件以上）'!$B$4:$Y$1048576,6,FALSE),"-")</f>
        <v>-</v>
      </c>
      <c r="I112" s="13" t="str">
        <f>IFERROR(VLOOKUP($C112,'【入力用②】案件ごと売上（D案件以上）'!$B$4:$Y$1048576,8,FALSE),"-")</f>
        <v>-</v>
      </c>
      <c r="J112" s="13">
        <f t="shared" si="22"/>
        <v>0</v>
      </c>
      <c r="K112" s="57" t="str">
        <f t="shared" si="19"/>
        <v>-</v>
      </c>
      <c r="L112" s="13" t="str">
        <f>IFERROR(VLOOKUP($C112,'【入力用②】案件ごと売上（D案件以上）'!$B$4:$Y$1048576,11,FALSE),"-")</f>
        <v>-</v>
      </c>
      <c r="M112" s="13" t="str">
        <f t="shared" si="16"/>
        <v>-</v>
      </c>
      <c r="N112" s="43"/>
      <c r="O112" s="54"/>
      <c r="P112" s="54"/>
      <c r="Q112" s="54"/>
      <c r="R112" s="54"/>
      <c r="S112" s="54"/>
      <c r="T112" s="54"/>
      <c r="U112" s="54"/>
      <c r="V112" s="54"/>
      <c r="W112" s="54"/>
      <c r="X112" s="54"/>
      <c r="Y112" s="54"/>
      <c r="Z112" s="54"/>
      <c r="AA112" s="13" t="str">
        <f>IFERROR(VLOOKUP($N112,【管理用】BR_260204!$B$3:$D$20,3,FALSE)*O112,"-")</f>
        <v>-</v>
      </c>
      <c r="AB112" s="13" t="str">
        <f>IFERROR(VLOOKUP($N112,【管理用】BR_260204!$B$3:$D$20,3,FALSE)*P112,"-")</f>
        <v>-</v>
      </c>
      <c r="AC112" s="13" t="str">
        <f>IFERROR(VLOOKUP($N112,【管理用】BR_260204!$B$3:$D$20,3,FALSE)*Q112,"-")</f>
        <v>-</v>
      </c>
      <c r="AD112" s="13" t="str">
        <f>IFERROR(VLOOKUP($N112,【管理用】BR_260204!$B$3:$D$20,3,FALSE)*R112,"-")</f>
        <v>-</v>
      </c>
      <c r="AE112" s="13" t="str">
        <f>IFERROR(VLOOKUP($N112,【管理用】BR_260204!$B$3:$D$20,3,FALSE)*S112,"-")</f>
        <v>-</v>
      </c>
      <c r="AF112" s="13" t="str">
        <f>IFERROR(VLOOKUP($N112,【管理用】BR_260204!$B$3:$D$20,3,FALSE)*T112,"-")</f>
        <v>-</v>
      </c>
      <c r="AG112" s="13" t="str">
        <f>IFERROR(VLOOKUP($N112,【管理用】BR_260204!$B$3:$D$20,3,FALSE)*U112,"-")</f>
        <v>-</v>
      </c>
      <c r="AH112" s="13" t="str">
        <f>IFERROR(VLOOKUP($N112,【管理用】BR_260204!$B$3:$D$20,3,FALSE)*V112,"-")</f>
        <v>-</v>
      </c>
      <c r="AI112" s="13" t="str">
        <f>IFERROR(VLOOKUP($N112,【管理用】BR_260204!$B$3:$D$20,3,FALSE)*W112,"-")</f>
        <v>-</v>
      </c>
      <c r="AJ112" s="13" t="str">
        <f>IFERROR(VLOOKUP($N112,【管理用】BR_260204!$B$3:$D$20,3,FALSE)*X112,"-")</f>
        <v>-</v>
      </c>
      <c r="AK112" s="13" t="str">
        <f>IFERROR(VLOOKUP($N112,【管理用】BR_260204!$B$3:$D$20,3,FALSE)*Y112,"-")</f>
        <v>-</v>
      </c>
      <c r="AL112" s="13" t="str">
        <f>IFERROR(VLOOKUP($N112,【管理用】BR_260204!$B$3:$D$20,3,FALSE)*Z112,"-")</f>
        <v>-</v>
      </c>
      <c r="AM112" s="13">
        <f t="shared" si="15"/>
        <v>0</v>
      </c>
      <c r="AN112" s="37" t="s">
        <v>355</v>
      </c>
      <c r="AP112" s="91"/>
    </row>
    <row r="113" spans="2:42">
      <c r="B113" s="45">
        <f t="shared" si="23"/>
        <v>109</v>
      </c>
      <c r="C113" s="43"/>
      <c r="D113" s="12" t="str">
        <f>IFERROR(VLOOKUP($C113,'【入力用②】案件ごと売上（D案件以上）'!$B$4:$Y$1048576,2,FALSE),"-")</f>
        <v>-</v>
      </c>
      <c r="E113" s="12" t="str">
        <f>IFERROR(VLOOKUP($C113,'【入力用②】案件ごと売上（D案件以上）'!$B$4:$Y$1048576,3,FALSE),"-")</f>
        <v>-</v>
      </c>
      <c r="F113" s="12" t="str">
        <f>IFERROR(VLOOKUP($C113,'【入力用②】案件ごと売上（D案件以上）'!$B$4:$Y$1048576,4,FALSE),"-")</f>
        <v>-</v>
      </c>
      <c r="G113" s="12" t="str">
        <f>IFERROR(VLOOKUP($C113,'【入力用②】案件ごと売上（D案件以上）'!$B$4:$Y$1048576,5,FALSE),"-")</f>
        <v>-</v>
      </c>
      <c r="H113" s="12" t="str">
        <f>IFERROR(VLOOKUP($C113,'【入力用②】案件ごと売上（D案件以上）'!$B$4:$Y$1048576,6,FALSE),"-")</f>
        <v>-</v>
      </c>
      <c r="I113" s="13" t="str">
        <f>IFERROR(VLOOKUP($C113,'【入力用②】案件ごと売上（D案件以上）'!$B$4:$Y$1048576,8,FALSE),"-")</f>
        <v>-</v>
      </c>
      <c r="J113" s="13">
        <f t="shared" si="22"/>
        <v>0</v>
      </c>
      <c r="K113" s="57" t="str">
        <f t="shared" si="19"/>
        <v>-</v>
      </c>
      <c r="L113" s="13" t="str">
        <f>IFERROR(VLOOKUP($C113,'【入力用②】案件ごと売上（D案件以上）'!$B$4:$Y$1048576,11,FALSE),"-")</f>
        <v>-</v>
      </c>
      <c r="M113" s="13" t="str">
        <f t="shared" si="16"/>
        <v>-</v>
      </c>
      <c r="N113" s="43"/>
      <c r="O113" s="54"/>
      <c r="P113" s="54"/>
      <c r="Q113" s="54"/>
      <c r="R113" s="54"/>
      <c r="S113" s="54"/>
      <c r="T113" s="54"/>
      <c r="U113" s="54"/>
      <c r="V113" s="54"/>
      <c r="W113" s="54"/>
      <c r="X113" s="54"/>
      <c r="Y113" s="54"/>
      <c r="Z113" s="54"/>
      <c r="AA113" s="13" t="str">
        <f>IFERROR(VLOOKUP($N113,【管理用】BR_260204!$B$3:$D$20,3,FALSE)*O113,"-")</f>
        <v>-</v>
      </c>
      <c r="AB113" s="13" t="str">
        <f>IFERROR(VLOOKUP($N113,【管理用】BR_260204!$B$3:$D$20,3,FALSE)*P113,"-")</f>
        <v>-</v>
      </c>
      <c r="AC113" s="13" t="str">
        <f>IFERROR(VLOOKUP($N113,【管理用】BR_260204!$B$3:$D$20,3,FALSE)*Q113,"-")</f>
        <v>-</v>
      </c>
      <c r="AD113" s="13" t="str">
        <f>IFERROR(VLOOKUP($N113,【管理用】BR_260204!$B$3:$D$20,3,FALSE)*R113,"-")</f>
        <v>-</v>
      </c>
      <c r="AE113" s="13" t="str">
        <f>IFERROR(VLOOKUP($N113,【管理用】BR_260204!$B$3:$D$20,3,FALSE)*S113,"-")</f>
        <v>-</v>
      </c>
      <c r="AF113" s="13" t="str">
        <f>IFERROR(VLOOKUP($N113,【管理用】BR_260204!$B$3:$D$20,3,FALSE)*T113,"-")</f>
        <v>-</v>
      </c>
      <c r="AG113" s="13" t="str">
        <f>IFERROR(VLOOKUP($N113,【管理用】BR_260204!$B$3:$D$20,3,FALSE)*U113,"-")</f>
        <v>-</v>
      </c>
      <c r="AH113" s="13" t="str">
        <f>IFERROR(VLOOKUP($N113,【管理用】BR_260204!$B$3:$D$20,3,FALSE)*V113,"-")</f>
        <v>-</v>
      </c>
      <c r="AI113" s="13" t="str">
        <f>IFERROR(VLOOKUP($N113,【管理用】BR_260204!$B$3:$D$20,3,FALSE)*W113,"-")</f>
        <v>-</v>
      </c>
      <c r="AJ113" s="13" t="str">
        <f>IFERROR(VLOOKUP($N113,【管理用】BR_260204!$B$3:$D$20,3,FALSE)*X113,"-")</f>
        <v>-</v>
      </c>
      <c r="AK113" s="13" t="str">
        <f>IFERROR(VLOOKUP($N113,【管理用】BR_260204!$B$3:$D$20,3,FALSE)*Y113,"-")</f>
        <v>-</v>
      </c>
      <c r="AL113" s="13" t="str">
        <f>IFERROR(VLOOKUP($N113,【管理用】BR_260204!$B$3:$D$20,3,FALSE)*Z113,"-")</f>
        <v>-</v>
      </c>
      <c r="AM113" s="13">
        <f t="shared" si="15"/>
        <v>0</v>
      </c>
      <c r="AN113" s="37" t="s">
        <v>355</v>
      </c>
      <c r="AP113" s="91"/>
    </row>
    <row r="114" spans="2:42">
      <c r="B114" s="45">
        <f t="shared" si="23"/>
        <v>110</v>
      </c>
      <c r="C114" s="43"/>
      <c r="D114" s="12" t="str">
        <f>IFERROR(VLOOKUP($C114,'【入力用②】案件ごと売上（D案件以上）'!$B$4:$Y$1048576,2,FALSE),"-")</f>
        <v>-</v>
      </c>
      <c r="E114" s="12" t="str">
        <f>IFERROR(VLOOKUP($C114,'【入力用②】案件ごと売上（D案件以上）'!$B$4:$Y$1048576,3,FALSE),"-")</f>
        <v>-</v>
      </c>
      <c r="F114" s="12" t="str">
        <f>IFERROR(VLOOKUP($C114,'【入力用②】案件ごと売上（D案件以上）'!$B$4:$Y$1048576,4,FALSE),"-")</f>
        <v>-</v>
      </c>
      <c r="G114" s="12" t="str">
        <f>IFERROR(VLOOKUP($C114,'【入力用②】案件ごと売上（D案件以上）'!$B$4:$Y$1048576,5,FALSE),"-")</f>
        <v>-</v>
      </c>
      <c r="H114" s="12" t="str">
        <f>IFERROR(VLOOKUP($C114,'【入力用②】案件ごと売上（D案件以上）'!$B$4:$Y$1048576,6,FALSE),"-")</f>
        <v>-</v>
      </c>
      <c r="I114" s="13" t="str">
        <f>IFERROR(VLOOKUP($C114,'【入力用②】案件ごと売上（D案件以上）'!$B$4:$Y$1048576,8,FALSE),"-")</f>
        <v>-</v>
      </c>
      <c r="J114" s="13">
        <f t="shared" si="22"/>
        <v>0</v>
      </c>
      <c r="K114" s="57" t="str">
        <f t="shared" si="19"/>
        <v>-</v>
      </c>
      <c r="L114" s="13" t="str">
        <f>IFERROR(VLOOKUP($C114,'【入力用②】案件ごと売上（D案件以上）'!$B$4:$Y$1048576,11,FALSE),"-")</f>
        <v>-</v>
      </c>
      <c r="M114" s="13" t="str">
        <f t="shared" si="16"/>
        <v>-</v>
      </c>
      <c r="N114" s="43"/>
      <c r="O114" s="54"/>
      <c r="P114" s="54"/>
      <c r="Q114" s="54"/>
      <c r="R114" s="54"/>
      <c r="S114" s="54"/>
      <c r="T114" s="54"/>
      <c r="U114" s="54"/>
      <c r="V114" s="54"/>
      <c r="W114" s="54"/>
      <c r="X114" s="54"/>
      <c r="Y114" s="54"/>
      <c r="Z114" s="54"/>
      <c r="AA114" s="13" t="str">
        <f>IFERROR(VLOOKUP($N114,【管理用】BR_260204!$B$3:$D$20,3,FALSE)*O114,"-")</f>
        <v>-</v>
      </c>
      <c r="AB114" s="13" t="str">
        <f>IFERROR(VLOOKUP($N114,【管理用】BR_260204!$B$3:$D$20,3,FALSE)*P114,"-")</f>
        <v>-</v>
      </c>
      <c r="AC114" s="13" t="str">
        <f>IFERROR(VLOOKUP($N114,【管理用】BR_260204!$B$3:$D$20,3,FALSE)*Q114,"-")</f>
        <v>-</v>
      </c>
      <c r="AD114" s="13" t="str">
        <f>IFERROR(VLOOKUP($N114,【管理用】BR_260204!$B$3:$D$20,3,FALSE)*R114,"-")</f>
        <v>-</v>
      </c>
      <c r="AE114" s="13" t="str">
        <f>IFERROR(VLOOKUP($N114,【管理用】BR_260204!$B$3:$D$20,3,FALSE)*S114,"-")</f>
        <v>-</v>
      </c>
      <c r="AF114" s="13" t="str">
        <f>IFERROR(VLOOKUP($N114,【管理用】BR_260204!$B$3:$D$20,3,FALSE)*T114,"-")</f>
        <v>-</v>
      </c>
      <c r="AG114" s="13" t="str">
        <f>IFERROR(VLOOKUP($N114,【管理用】BR_260204!$B$3:$D$20,3,FALSE)*U114,"-")</f>
        <v>-</v>
      </c>
      <c r="AH114" s="13" t="str">
        <f>IFERROR(VLOOKUP($N114,【管理用】BR_260204!$B$3:$D$20,3,FALSE)*V114,"-")</f>
        <v>-</v>
      </c>
      <c r="AI114" s="13" t="str">
        <f>IFERROR(VLOOKUP($N114,【管理用】BR_260204!$B$3:$D$20,3,FALSE)*W114,"-")</f>
        <v>-</v>
      </c>
      <c r="AJ114" s="13" t="str">
        <f>IFERROR(VLOOKUP($N114,【管理用】BR_260204!$B$3:$D$20,3,FALSE)*X114,"-")</f>
        <v>-</v>
      </c>
      <c r="AK114" s="13" t="str">
        <f>IFERROR(VLOOKUP($N114,【管理用】BR_260204!$B$3:$D$20,3,FALSE)*Y114,"-")</f>
        <v>-</v>
      </c>
      <c r="AL114" s="13" t="str">
        <f>IFERROR(VLOOKUP($N114,【管理用】BR_260204!$B$3:$D$20,3,FALSE)*Z114,"-")</f>
        <v>-</v>
      </c>
      <c r="AM114" s="13">
        <f t="shared" si="15"/>
        <v>0</v>
      </c>
      <c r="AN114" s="37" t="s">
        <v>355</v>
      </c>
      <c r="AP114" s="91"/>
    </row>
    <row r="115" spans="2:42">
      <c r="B115" s="45">
        <f t="shared" si="23"/>
        <v>111</v>
      </c>
      <c r="C115" s="43"/>
      <c r="D115" s="12" t="str">
        <f>IFERROR(VLOOKUP($C115,'【入力用②】案件ごと売上（D案件以上）'!$B$4:$Y$1048576,2,FALSE),"-")</f>
        <v>-</v>
      </c>
      <c r="E115" s="12" t="str">
        <f>IFERROR(VLOOKUP($C115,'【入力用②】案件ごと売上（D案件以上）'!$B$4:$Y$1048576,3,FALSE),"-")</f>
        <v>-</v>
      </c>
      <c r="F115" s="12" t="str">
        <f>IFERROR(VLOOKUP($C115,'【入力用②】案件ごと売上（D案件以上）'!$B$4:$Y$1048576,4,FALSE),"-")</f>
        <v>-</v>
      </c>
      <c r="G115" s="12" t="str">
        <f>IFERROR(VLOOKUP($C115,'【入力用②】案件ごと売上（D案件以上）'!$B$4:$Y$1048576,5,FALSE),"-")</f>
        <v>-</v>
      </c>
      <c r="H115" s="12" t="str">
        <f>IFERROR(VLOOKUP($C115,'【入力用②】案件ごと売上（D案件以上）'!$B$4:$Y$1048576,6,FALSE),"-")</f>
        <v>-</v>
      </c>
      <c r="I115" s="13" t="str">
        <f>IFERROR(VLOOKUP($C115,'【入力用②】案件ごと売上（D案件以上）'!$B$4:$Y$1048576,8,FALSE),"-")</f>
        <v>-</v>
      </c>
      <c r="J115" s="13">
        <f t="shared" si="22"/>
        <v>0</v>
      </c>
      <c r="K115" s="57" t="str">
        <f t="shared" si="19"/>
        <v>-</v>
      </c>
      <c r="L115" s="13" t="str">
        <f>IFERROR(VLOOKUP($C115,'【入力用②】案件ごと売上（D案件以上）'!$B$4:$Y$1048576,11,FALSE),"-")</f>
        <v>-</v>
      </c>
      <c r="M115" s="13" t="str">
        <f t="shared" si="16"/>
        <v>-</v>
      </c>
      <c r="N115" s="43"/>
      <c r="O115" s="54"/>
      <c r="P115" s="54"/>
      <c r="Q115" s="54"/>
      <c r="R115" s="54"/>
      <c r="S115" s="54"/>
      <c r="T115" s="54"/>
      <c r="U115" s="54"/>
      <c r="V115" s="54"/>
      <c r="W115" s="54"/>
      <c r="X115" s="54"/>
      <c r="Y115" s="54"/>
      <c r="Z115" s="54"/>
      <c r="AA115" s="13" t="str">
        <f>IFERROR(VLOOKUP($N115,【管理用】BR_260204!$B$3:$D$20,3,FALSE)*O115,"-")</f>
        <v>-</v>
      </c>
      <c r="AB115" s="13" t="str">
        <f>IFERROR(VLOOKUP($N115,【管理用】BR_260204!$B$3:$D$20,3,FALSE)*P115,"-")</f>
        <v>-</v>
      </c>
      <c r="AC115" s="13" t="str">
        <f>IFERROR(VLOOKUP($N115,【管理用】BR_260204!$B$3:$D$20,3,FALSE)*Q115,"-")</f>
        <v>-</v>
      </c>
      <c r="AD115" s="13" t="str">
        <f>IFERROR(VLOOKUP($N115,【管理用】BR_260204!$B$3:$D$20,3,FALSE)*R115,"-")</f>
        <v>-</v>
      </c>
      <c r="AE115" s="13" t="str">
        <f>IFERROR(VLOOKUP($N115,【管理用】BR_260204!$B$3:$D$20,3,FALSE)*S115,"-")</f>
        <v>-</v>
      </c>
      <c r="AF115" s="13" t="str">
        <f>IFERROR(VLOOKUP($N115,【管理用】BR_260204!$B$3:$D$20,3,FALSE)*T115,"-")</f>
        <v>-</v>
      </c>
      <c r="AG115" s="13" t="str">
        <f>IFERROR(VLOOKUP($N115,【管理用】BR_260204!$B$3:$D$20,3,FALSE)*U115,"-")</f>
        <v>-</v>
      </c>
      <c r="AH115" s="13" t="str">
        <f>IFERROR(VLOOKUP($N115,【管理用】BR_260204!$B$3:$D$20,3,FALSE)*V115,"-")</f>
        <v>-</v>
      </c>
      <c r="AI115" s="13" t="str">
        <f>IFERROR(VLOOKUP($N115,【管理用】BR_260204!$B$3:$D$20,3,FALSE)*W115,"-")</f>
        <v>-</v>
      </c>
      <c r="AJ115" s="13" t="str">
        <f>IFERROR(VLOOKUP($N115,【管理用】BR_260204!$B$3:$D$20,3,FALSE)*X115,"-")</f>
        <v>-</v>
      </c>
      <c r="AK115" s="13" t="str">
        <f>IFERROR(VLOOKUP($N115,【管理用】BR_260204!$B$3:$D$20,3,FALSE)*Y115,"-")</f>
        <v>-</v>
      </c>
      <c r="AL115" s="13" t="str">
        <f>IFERROR(VLOOKUP($N115,【管理用】BR_260204!$B$3:$D$20,3,FALSE)*Z115,"-")</f>
        <v>-</v>
      </c>
      <c r="AM115" s="13">
        <f t="shared" si="15"/>
        <v>0</v>
      </c>
      <c r="AN115" s="37" t="s">
        <v>355</v>
      </c>
      <c r="AP115" s="91"/>
    </row>
    <row r="116" spans="2:42">
      <c r="B116" s="45">
        <f t="shared" si="23"/>
        <v>112</v>
      </c>
      <c r="C116" s="43"/>
      <c r="D116" s="12" t="str">
        <f>IFERROR(VLOOKUP($C116,'【入力用②】案件ごと売上（D案件以上）'!$B$4:$Y$1048576,2,FALSE),"-")</f>
        <v>-</v>
      </c>
      <c r="E116" s="12" t="str">
        <f>IFERROR(VLOOKUP($C116,'【入力用②】案件ごと売上（D案件以上）'!$B$4:$Y$1048576,3,FALSE),"-")</f>
        <v>-</v>
      </c>
      <c r="F116" s="12" t="str">
        <f>IFERROR(VLOOKUP($C116,'【入力用②】案件ごと売上（D案件以上）'!$B$4:$Y$1048576,4,FALSE),"-")</f>
        <v>-</v>
      </c>
      <c r="G116" s="12" t="str">
        <f>IFERROR(VLOOKUP($C116,'【入力用②】案件ごと売上（D案件以上）'!$B$4:$Y$1048576,5,FALSE),"-")</f>
        <v>-</v>
      </c>
      <c r="H116" s="12" t="str">
        <f>IFERROR(VLOOKUP($C116,'【入力用②】案件ごと売上（D案件以上）'!$B$4:$Y$1048576,6,FALSE),"-")</f>
        <v>-</v>
      </c>
      <c r="I116" s="13" t="str">
        <f>IFERROR(VLOOKUP($C116,'【入力用②】案件ごと売上（D案件以上）'!$B$4:$Y$1048576,8,FALSE),"-")</f>
        <v>-</v>
      </c>
      <c r="J116" s="13">
        <f t="shared" si="22"/>
        <v>0</v>
      </c>
      <c r="K116" s="57" t="str">
        <f t="shared" si="19"/>
        <v>-</v>
      </c>
      <c r="L116" s="13" t="str">
        <f>IFERROR(VLOOKUP($C116,'【入力用②】案件ごと売上（D案件以上）'!$B$4:$Y$1048576,11,FALSE),"-")</f>
        <v>-</v>
      </c>
      <c r="M116" s="13" t="str">
        <f t="shared" si="16"/>
        <v>-</v>
      </c>
      <c r="N116" s="43"/>
      <c r="O116" s="54"/>
      <c r="P116" s="54"/>
      <c r="Q116" s="54"/>
      <c r="R116" s="54"/>
      <c r="S116" s="54"/>
      <c r="T116" s="54"/>
      <c r="U116" s="54"/>
      <c r="V116" s="54"/>
      <c r="W116" s="54"/>
      <c r="X116" s="54"/>
      <c r="Y116" s="54"/>
      <c r="Z116" s="54"/>
      <c r="AA116" s="13" t="str">
        <f>IFERROR(VLOOKUP($N116,【管理用】BR_260204!$B$3:$D$20,3,FALSE)*O116,"-")</f>
        <v>-</v>
      </c>
      <c r="AB116" s="13" t="str">
        <f>IFERROR(VLOOKUP($N116,【管理用】BR_260204!$B$3:$D$20,3,FALSE)*P116,"-")</f>
        <v>-</v>
      </c>
      <c r="AC116" s="13" t="str">
        <f>IFERROR(VLOOKUP($N116,【管理用】BR_260204!$B$3:$D$20,3,FALSE)*Q116,"-")</f>
        <v>-</v>
      </c>
      <c r="AD116" s="13" t="str">
        <f>IFERROR(VLOOKUP($N116,【管理用】BR_260204!$B$3:$D$20,3,FALSE)*R116,"-")</f>
        <v>-</v>
      </c>
      <c r="AE116" s="13" t="str">
        <f>IFERROR(VLOOKUP($N116,【管理用】BR_260204!$B$3:$D$20,3,FALSE)*S116,"-")</f>
        <v>-</v>
      </c>
      <c r="AF116" s="13" t="str">
        <f>IFERROR(VLOOKUP($N116,【管理用】BR_260204!$B$3:$D$20,3,FALSE)*T116,"-")</f>
        <v>-</v>
      </c>
      <c r="AG116" s="13" t="str">
        <f>IFERROR(VLOOKUP($N116,【管理用】BR_260204!$B$3:$D$20,3,FALSE)*U116,"-")</f>
        <v>-</v>
      </c>
      <c r="AH116" s="13" t="str">
        <f>IFERROR(VLOOKUP($N116,【管理用】BR_260204!$B$3:$D$20,3,FALSE)*V116,"-")</f>
        <v>-</v>
      </c>
      <c r="AI116" s="13" t="str">
        <f>IFERROR(VLOOKUP($N116,【管理用】BR_260204!$B$3:$D$20,3,FALSE)*W116,"-")</f>
        <v>-</v>
      </c>
      <c r="AJ116" s="13" t="str">
        <f>IFERROR(VLOOKUP($N116,【管理用】BR_260204!$B$3:$D$20,3,FALSE)*X116,"-")</f>
        <v>-</v>
      </c>
      <c r="AK116" s="13" t="str">
        <f>IFERROR(VLOOKUP($N116,【管理用】BR_260204!$B$3:$D$20,3,FALSE)*Y116,"-")</f>
        <v>-</v>
      </c>
      <c r="AL116" s="13" t="str">
        <f>IFERROR(VLOOKUP($N116,【管理用】BR_260204!$B$3:$D$20,3,FALSE)*Z116,"-")</f>
        <v>-</v>
      </c>
      <c r="AM116" s="13">
        <f t="shared" si="15"/>
        <v>0</v>
      </c>
      <c r="AN116" s="37" t="s">
        <v>355</v>
      </c>
      <c r="AP116" s="91"/>
    </row>
    <row r="117" spans="2:42">
      <c r="B117" s="45">
        <f t="shared" si="23"/>
        <v>113</v>
      </c>
      <c r="C117" s="43"/>
      <c r="D117" s="12" t="str">
        <f>IFERROR(VLOOKUP($C117,'【入力用②】案件ごと売上（D案件以上）'!$B$4:$Y$1048576,2,FALSE),"-")</f>
        <v>-</v>
      </c>
      <c r="E117" s="12" t="str">
        <f>IFERROR(VLOOKUP($C117,'【入力用②】案件ごと売上（D案件以上）'!$B$4:$Y$1048576,3,FALSE),"-")</f>
        <v>-</v>
      </c>
      <c r="F117" s="12" t="str">
        <f>IFERROR(VLOOKUP($C117,'【入力用②】案件ごと売上（D案件以上）'!$B$4:$Y$1048576,4,FALSE),"-")</f>
        <v>-</v>
      </c>
      <c r="G117" s="12" t="str">
        <f>IFERROR(VLOOKUP($C117,'【入力用②】案件ごと売上（D案件以上）'!$B$4:$Y$1048576,5,FALSE),"-")</f>
        <v>-</v>
      </c>
      <c r="H117" s="12" t="str">
        <f>IFERROR(VLOOKUP($C117,'【入力用②】案件ごと売上（D案件以上）'!$B$4:$Y$1048576,6,FALSE),"-")</f>
        <v>-</v>
      </c>
      <c r="I117" s="13" t="str">
        <f>IFERROR(VLOOKUP($C117,'【入力用②】案件ごと売上（D案件以上）'!$B$4:$Y$1048576,8,FALSE),"-")</f>
        <v>-</v>
      </c>
      <c r="J117" s="13">
        <f t="shared" si="22"/>
        <v>0</v>
      </c>
      <c r="K117" s="57" t="str">
        <f t="shared" si="19"/>
        <v>-</v>
      </c>
      <c r="L117" s="13" t="str">
        <f>IFERROR(VLOOKUP($C117,'【入力用②】案件ごと売上（D案件以上）'!$B$4:$Y$1048576,11,FALSE),"-")</f>
        <v>-</v>
      </c>
      <c r="M117" s="13" t="str">
        <f t="shared" si="16"/>
        <v>-</v>
      </c>
      <c r="N117" s="43"/>
      <c r="O117" s="54"/>
      <c r="P117" s="54"/>
      <c r="Q117" s="54"/>
      <c r="R117" s="54"/>
      <c r="S117" s="54"/>
      <c r="T117" s="54"/>
      <c r="U117" s="54"/>
      <c r="V117" s="54"/>
      <c r="W117" s="54"/>
      <c r="X117" s="54"/>
      <c r="Y117" s="54"/>
      <c r="Z117" s="54"/>
      <c r="AA117" s="13" t="str">
        <f>IFERROR(VLOOKUP($N117,【管理用】BR_260204!$B$3:$D$20,3,FALSE)*O117,"-")</f>
        <v>-</v>
      </c>
      <c r="AB117" s="13" t="str">
        <f>IFERROR(VLOOKUP($N117,【管理用】BR_260204!$B$3:$D$20,3,FALSE)*P117,"-")</f>
        <v>-</v>
      </c>
      <c r="AC117" s="13" t="str">
        <f>IFERROR(VLOOKUP($N117,【管理用】BR_260204!$B$3:$D$20,3,FALSE)*Q117,"-")</f>
        <v>-</v>
      </c>
      <c r="AD117" s="13" t="str">
        <f>IFERROR(VLOOKUP($N117,【管理用】BR_260204!$B$3:$D$20,3,FALSE)*R117,"-")</f>
        <v>-</v>
      </c>
      <c r="AE117" s="13" t="str">
        <f>IFERROR(VLOOKUP($N117,【管理用】BR_260204!$B$3:$D$20,3,FALSE)*S117,"-")</f>
        <v>-</v>
      </c>
      <c r="AF117" s="13" t="str">
        <f>IFERROR(VLOOKUP($N117,【管理用】BR_260204!$B$3:$D$20,3,FALSE)*T117,"-")</f>
        <v>-</v>
      </c>
      <c r="AG117" s="13" t="str">
        <f>IFERROR(VLOOKUP($N117,【管理用】BR_260204!$B$3:$D$20,3,FALSE)*U117,"-")</f>
        <v>-</v>
      </c>
      <c r="AH117" s="13" t="str">
        <f>IFERROR(VLOOKUP($N117,【管理用】BR_260204!$B$3:$D$20,3,FALSE)*V117,"-")</f>
        <v>-</v>
      </c>
      <c r="AI117" s="13" t="str">
        <f>IFERROR(VLOOKUP($N117,【管理用】BR_260204!$B$3:$D$20,3,FALSE)*W117,"-")</f>
        <v>-</v>
      </c>
      <c r="AJ117" s="13" t="str">
        <f>IFERROR(VLOOKUP($N117,【管理用】BR_260204!$B$3:$D$20,3,FALSE)*X117,"-")</f>
        <v>-</v>
      </c>
      <c r="AK117" s="13" t="str">
        <f>IFERROR(VLOOKUP($N117,【管理用】BR_260204!$B$3:$D$20,3,FALSE)*Y117,"-")</f>
        <v>-</v>
      </c>
      <c r="AL117" s="13" t="str">
        <f>IFERROR(VLOOKUP($N117,【管理用】BR_260204!$B$3:$D$20,3,FALSE)*Z117,"-")</f>
        <v>-</v>
      </c>
      <c r="AM117" s="13">
        <f t="shared" si="15"/>
        <v>0</v>
      </c>
      <c r="AN117" s="37" t="s">
        <v>355</v>
      </c>
      <c r="AP117" s="91"/>
    </row>
    <row r="118" spans="2:42">
      <c r="B118" s="45">
        <f t="shared" si="23"/>
        <v>114</v>
      </c>
      <c r="C118" s="43"/>
      <c r="D118" s="12" t="str">
        <f>IFERROR(VLOOKUP($C118,'【入力用②】案件ごと売上（D案件以上）'!$B$4:$Y$1048576,2,FALSE),"-")</f>
        <v>-</v>
      </c>
      <c r="E118" s="12" t="str">
        <f>IFERROR(VLOOKUP($C118,'【入力用②】案件ごと売上（D案件以上）'!$B$4:$Y$1048576,3,FALSE),"-")</f>
        <v>-</v>
      </c>
      <c r="F118" s="12" t="str">
        <f>IFERROR(VLOOKUP($C118,'【入力用②】案件ごと売上（D案件以上）'!$B$4:$Y$1048576,4,FALSE),"-")</f>
        <v>-</v>
      </c>
      <c r="G118" s="12" t="str">
        <f>IFERROR(VLOOKUP($C118,'【入力用②】案件ごと売上（D案件以上）'!$B$4:$Y$1048576,5,FALSE),"-")</f>
        <v>-</v>
      </c>
      <c r="H118" s="12" t="str">
        <f>IFERROR(VLOOKUP($C118,'【入力用②】案件ごと売上（D案件以上）'!$B$4:$Y$1048576,6,FALSE),"-")</f>
        <v>-</v>
      </c>
      <c r="I118" s="13" t="str">
        <f>IFERROR(VLOOKUP($C118,'【入力用②】案件ごと売上（D案件以上）'!$B$4:$Y$1048576,8,FALSE),"-")</f>
        <v>-</v>
      </c>
      <c r="J118" s="13">
        <f t="shared" si="22"/>
        <v>0</v>
      </c>
      <c r="K118" s="57" t="str">
        <f t="shared" si="19"/>
        <v>-</v>
      </c>
      <c r="L118" s="13" t="str">
        <f>IFERROR(VLOOKUP($C118,'【入力用②】案件ごと売上（D案件以上）'!$B$4:$Y$1048576,11,FALSE),"-")</f>
        <v>-</v>
      </c>
      <c r="M118" s="13" t="str">
        <f t="shared" si="16"/>
        <v>-</v>
      </c>
      <c r="N118" s="43"/>
      <c r="O118" s="54"/>
      <c r="P118" s="54"/>
      <c r="Q118" s="54"/>
      <c r="R118" s="54"/>
      <c r="S118" s="54"/>
      <c r="T118" s="54"/>
      <c r="U118" s="54"/>
      <c r="V118" s="54"/>
      <c r="W118" s="54"/>
      <c r="X118" s="54"/>
      <c r="Y118" s="54"/>
      <c r="Z118" s="54"/>
      <c r="AA118" s="13" t="str">
        <f>IFERROR(VLOOKUP($N118,【管理用】BR_260204!$B$3:$D$20,3,FALSE)*O118,"-")</f>
        <v>-</v>
      </c>
      <c r="AB118" s="13" t="str">
        <f>IFERROR(VLOOKUP($N118,【管理用】BR_260204!$B$3:$D$20,3,FALSE)*P118,"-")</f>
        <v>-</v>
      </c>
      <c r="AC118" s="13" t="str">
        <f>IFERROR(VLOOKUP($N118,【管理用】BR_260204!$B$3:$D$20,3,FALSE)*Q118,"-")</f>
        <v>-</v>
      </c>
      <c r="AD118" s="13" t="str">
        <f>IFERROR(VLOOKUP($N118,【管理用】BR_260204!$B$3:$D$20,3,FALSE)*R118,"-")</f>
        <v>-</v>
      </c>
      <c r="AE118" s="13" t="str">
        <f>IFERROR(VLOOKUP($N118,【管理用】BR_260204!$B$3:$D$20,3,FALSE)*S118,"-")</f>
        <v>-</v>
      </c>
      <c r="AF118" s="13" t="str">
        <f>IFERROR(VLOOKUP($N118,【管理用】BR_260204!$B$3:$D$20,3,FALSE)*T118,"-")</f>
        <v>-</v>
      </c>
      <c r="AG118" s="13" t="str">
        <f>IFERROR(VLOOKUP($N118,【管理用】BR_260204!$B$3:$D$20,3,FALSE)*U118,"-")</f>
        <v>-</v>
      </c>
      <c r="AH118" s="13" t="str">
        <f>IFERROR(VLOOKUP($N118,【管理用】BR_260204!$B$3:$D$20,3,FALSE)*V118,"-")</f>
        <v>-</v>
      </c>
      <c r="AI118" s="13" t="str">
        <f>IFERROR(VLOOKUP($N118,【管理用】BR_260204!$B$3:$D$20,3,FALSE)*W118,"-")</f>
        <v>-</v>
      </c>
      <c r="AJ118" s="13" t="str">
        <f>IFERROR(VLOOKUP($N118,【管理用】BR_260204!$B$3:$D$20,3,FALSE)*X118,"-")</f>
        <v>-</v>
      </c>
      <c r="AK118" s="13" t="str">
        <f>IFERROR(VLOOKUP($N118,【管理用】BR_260204!$B$3:$D$20,3,FALSE)*Y118,"-")</f>
        <v>-</v>
      </c>
      <c r="AL118" s="13" t="str">
        <f>IFERROR(VLOOKUP($N118,【管理用】BR_260204!$B$3:$D$20,3,FALSE)*Z118,"-")</f>
        <v>-</v>
      </c>
      <c r="AM118" s="13">
        <f t="shared" si="15"/>
        <v>0</v>
      </c>
      <c r="AN118" s="37" t="s">
        <v>355</v>
      </c>
      <c r="AP118" s="91"/>
    </row>
    <row r="119" spans="2:42">
      <c r="B119" s="45">
        <f t="shared" si="23"/>
        <v>115</v>
      </c>
      <c r="C119" s="43"/>
      <c r="D119" s="12" t="str">
        <f>IFERROR(VLOOKUP($C119,'【入力用②】案件ごと売上（D案件以上）'!$B$4:$Y$1048576,2,FALSE),"-")</f>
        <v>-</v>
      </c>
      <c r="E119" s="12" t="str">
        <f>IFERROR(VLOOKUP($C119,'【入力用②】案件ごと売上（D案件以上）'!$B$4:$Y$1048576,3,FALSE),"-")</f>
        <v>-</v>
      </c>
      <c r="F119" s="12" t="str">
        <f>IFERROR(VLOOKUP($C119,'【入力用②】案件ごと売上（D案件以上）'!$B$4:$Y$1048576,4,FALSE),"-")</f>
        <v>-</v>
      </c>
      <c r="G119" s="12" t="str">
        <f>IFERROR(VLOOKUP($C119,'【入力用②】案件ごと売上（D案件以上）'!$B$4:$Y$1048576,5,FALSE),"-")</f>
        <v>-</v>
      </c>
      <c r="H119" s="12" t="str">
        <f>IFERROR(VLOOKUP($C119,'【入力用②】案件ごと売上（D案件以上）'!$B$4:$Y$1048576,6,FALSE),"-")</f>
        <v>-</v>
      </c>
      <c r="I119" s="13" t="str">
        <f>IFERROR(VLOOKUP($C119,'【入力用②】案件ごと売上（D案件以上）'!$B$4:$Y$1048576,8,FALSE),"-")</f>
        <v>-</v>
      </c>
      <c r="J119" s="13">
        <f t="shared" si="22"/>
        <v>0</v>
      </c>
      <c r="K119" s="57" t="str">
        <f t="shared" si="19"/>
        <v>-</v>
      </c>
      <c r="L119" s="13" t="str">
        <f>IFERROR(VLOOKUP($C119,'【入力用②】案件ごと売上（D案件以上）'!$B$4:$Y$1048576,11,FALSE),"-")</f>
        <v>-</v>
      </c>
      <c r="M119" s="13" t="str">
        <f t="shared" si="16"/>
        <v>-</v>
      </c>
      <c r="N119" s="43"/>
      <c r="O119" s="54"/>
      <c r="P119" s="54"/>
      <c r="Q119" s="54"/>
      <c r="R119" s="54"/>
      <c r="S119" s="54"/>
      <c r="T119" s="54"/>
      <c r="U119" s="54"/>
      <c r="V119" s="54"/>
      <c r="W119" s="54"/>
      <c r="X119" s="54"/>
      <c r="Y119" s="54"/>
      <c r="Z119" s="54"/>
      <c r="AA119" s="13" t="str">
        <f>IFERROR(VLOOKUP($N119,【管理用】BR_260204!$B$3:$D$20,3,FALSE)*O119,"-")</f>
        <v>-</v>
      </c>
      <c r="AB119" s="13" t="str">
        <f>IFERROR(VLOOKUP($N119,【管理用】BR_260204!$B$3:$D$20,3,FALSE)*P119,"-")</f>
        <v>-</v>
      </c>
      <c r="AC119" s="13" t="str">
        <f>IFERROR(VLOOKUP($N119,【管理用】BR_260204!$B$3:$D$20,3,FALSE)*Q119,"-")</f>
        <v>-</v>
      </c>
      <c r="AD119" s="13" t="str">
        <f>IFERROR(VLOOKUP($N119,【管理用】BR_260204!$B$3:$D$20,3,FALSE)*R119,"-")</f>
        <v>-</v>
      </c>
      <c r="AE119" s="13" t="str">
        <f>IFERROR(VLOOKUP($N119,【管理用】BR_260204!$B$3:$D$20,3,FALSE)*S119,"-")</f>
        <v>-</v>
      </c>
      <c r="AF119" s="13" t="str">
        <f>IFERROR(VLOOKUP($N119,【管理用】BR_260204!$B$3:$D$20,3,FALSE)*T119,"-")</f>
        <v>-</v>
      </c>
      <c r="AG119" s="13" t="str">
        <f>IFERROR(VLOOKUP($N119,【管理用】BR_260204!$B$3:$D$20,3,FALSE)*U119,"-")</f>
        <v>-</v>
      </c>
      <c r="AH119" s="13" t="str">
        <f>IFERROR(VLOOKUP($N119,【管理用】BR_260204!$B$3:$D$20,3,FALSE)*V119,"-")</f>
        <v>-</v>
      </c>
      <c r="AI119" s="13" t="str">
        <f>IFERROR(VLOOKUP($N119,【管理用】BR_260204!$B$3:$D$20,3,FALSE)*W119,"-")</f>
        <v>-</v>
      </c>
      <c r="AJ119" s="13" t="str">
        <f>IFERROR(VLOOKUP($N119,【管理用】BR_260204!$B$3:$D$20,3,FALSE)*X119,"-")</f>
        <v>-</v>
      </c>
      <c r="AK119" s="13" t="str">
        <f>IFERROR(VLOOKUP($N119,【管理用】BR_260204!$B$3:$D$20,3,FALSE)*Y119,"-")</f>
        <v>-</v>
      </c>
      <c r="AL119" s="13" t="str">
        <f>IFERROR(VLOOKUP($N119,【管理用】BR_260204!$B$3:$D$20,3,FALSE)*Z119,"-")</f>
        <v>-</v>
      </c>
      <c r="AM119" s="13">
        <f t="shared" si="15"/>
        <v>0</v>
      </c>
      <c r="AN119" s="37" t="s">
        <v>355</v>
      </c>
      <c r="AP119" s="91"/>
    </row>
    <row r="120" spans="2:42">
      <c r="B120" s="45">
        <f t="shared" si="23"/>
        <v>116</v>
      </c>
      <c r="C120" s="43"/>
      <c r="D120" s="12" t="str">
        <f>IFERROR(VLOOKUP($C120,'【入力用②】案件ごと売上（D案件以上）'!$B$4:$Y$1048576,2,FALSE),"-")</f>
        <v>-</v>
      </c>
      <c r="E120" s="12" t="str">
        <f>IFERROR(VLOOKUP($C120,'【入力用②】案件ごと売上（D案件以上）'!$B$4:$Y$1048576,3,FALSE),"-")</f>
        <v>-</v>
      </c>
      <c r="F120" s="12" t="str">
        <f>IFERROR(VLOOKUP($C120,'【入力用②】案件ごと売上（D案件以上）'!$B$4:$Y$1048576,4,FALSE),"-")</f>
        <v>-</v>
      </c>
      <c r="G120" s="12" t="str">
        <f>IFERROR(VLOOKUP($C120,'【入力用②】案件ごと売上（D案件以上）'!$B$4:$Y$1048576,5,FALSE),"-")</f>
        <v>-</v>
      </c>
      <c r="H120" s="12" t="str">
        <f>IFERROR(VLOOKUP($C120,'【入力用②】案件ごと売上（D案件以上）'!$B$4:$Y$1048576,6,FALSE),"-")</f>
        <v>-</v>
      </c>
      <c r="I120" s="13" t="str">
        <f>IFERROR(VLOOKUP($C120,'【入力用②】案件ごと売上（D案件以上）'!$B$4:$Y$1048576,8,FALSE),"-")</f>
        <v>-</v>
      </c>
      <c r="J120" s="13">
        <f t="shared" si="22"/>
        <v>0</v>
      </c>
      <c r="K120" s="57" t="str">
        <f t="shared" si="19"/>
        <v>-</v>
      </c>
      <c r="L120" s="13" t="str">
        <f>IFERROR(VLOOKUP($C120,'【入力用②】案件ごと売上（D案件以上）'!$B$4:$Y$1048576,11,FALSE),"-")</f>
        <v>-</v>
      </c>
      <c r="M120" s="13" t="str">
        <f t="shared" si="16"/>
        <v>-</v>
      </c>
      <c r="N120" s="43"/>
      <c r="O120" s="54"/>
      <c r="P120" s="54"/>
      <c r="Q120" s="54"/>
      <c r="R120" s="54"/>
      <c r="S120" s="54"/>
      <c r="T120" s="54"/>
      <c r="U120" s="54"/>
      <c r="V120" s="54"/>
      <c r="W120" s="54"/>
      <c r="X120" s="54"/>
      <c r="Y120" s="54"/>
      <c r="Z120" s="54"/>
      <c r="AA120" s="13" t="str">
        <f>IFERROR(VLOOKUP($N120,【管理用】BR_260204!$B$3:$D$20,3,FALSE)*O120,"-")</f>
        <v>-</v>
      </c>
      <c r="AB120" s="13" t="str">
        <f>IFERROR(VLOOKUP($N120,【管理用】BR_260204!$B$3:$D$20,3,FALSE)*P120,"-")</f>
        <v>-</v>
      </c>
      <c r="AC120" s="13" t="str">
        <f>IFERROR(VLOOKUP($N120,【管理用】BR_260204!$B$3:$D$20,3,FALSE)*Q120,"-")</f>
        <v>-</v>
      </c>
      <c r="AD120" s="13" t="str">
        <f>IFERROR(VLOOKUP($N120,【管理用】BR_260204!$B$3:$D$20,3,FALSE)*R120,"-")</f>
        <v>-</v>
      </c>
      <c r="AE120" s="13" t="str">
        <f>IFERROR(VLOOKUP($N120,【管理用】BR_260204!$B$3:$D$20,3,FALSE)*S120,"-")</f>
        <v>-</v>
      </c>
      <c r="AF120" s="13" t="str">
        <f>IFERROR(VLOOKUP($N120,【管理用】BR_260204!$B$3:$D$20,3,FALSE)*T120,"-")</f>
        <v>-</v>
      </c>
      <c r="AG120" s="13" t="str">
        <f>IFERROR(VLOOKUP($N120,【管理用】BR_260204!$B$3:$D$20,3,FALSE)*U120,"-")</f>
        <v>-</v>
      </c>
      <c r="AH120" s="13" t="str">
        <f>IFERROR(VLOOKUP($N120,【管理用】BR_260204!$B$3:$D$20,3,FALSE)*V120,"-")</f>
        <v>-</v>
      </c>
      <c r="AI120" s="13" t="str">
        <f>IFERROR(VLOOKUP($N120,【管理用】BR_260204!$B$3:$D$20,3,FALSE)*W120,"-")</f>
        <v>-</v>
      </c>
      <c r="AJ120" s="13" t="str">
        <f>IFERROR(VLOOKUP($N120,【管理用】BR_260204!$B$3:$D$20,3,FALSE)*X120,"-")</f>
        <v>-</v>
      </c>
      <c r="AK120" s="13" t="str">
        <f>IFERROR(VLOOKUP($N120,【管理用】BR_260204!$B$3:$D$20,3,FALSE)*Y120,"-")</f>
        <v>-</v>
      </c>
      <c r="AL120" s="13" t="str">
        <f>IFERROR(VLOOKUP($N120,【管理用】BR_260204!$B$3:$D$20,3,FALSE)*Z120,"-")</f>
        <v>-</v>
      </c>
      <c r="AM120" s="13">
        <f t="shared" si="15"/>
        <v>0</v>
      </c>
      <c r="AN120" s="37" t="s">
        <v>355</v>
      </c>
      <c r="AP120" s="91"/>
    </row>
    <row r="121" spans="2:42">
      <c r="B121" s="45">
        <f t="shared" si="23"/>
        <v>117</v>
      </c>
      <c r="C121" s="43"/>
      <c r="D121" s="12" t="str">
        <f>IFERROR(VLOOKUP($C121,'【入力用②】案件ごと売上（D案件以上）'!$B$4:$Y$1048576,2,FALSE),"-")</f>
        <v>-</v>
      </c>
      <c r="E121" s="12" t="str">
        <f>IFERROR(VLOOKUP($C121,'【入力用②】案件ごと売上（D案件以上）'!$B$4:$Y$1048576,3,FALSE),"-")</f>
        <v>-</v>
      </c>
      <c r="F121" s="12" t="str">
        <f>IFERROR(VLOOKUP($C121,'【入力用②】案件ごと売上（D案件以上）'!$B$4:$Y$1048576,4,FALSE),"-")</f>
        <v>-</v>
      </c>
      <c r="G121" s="12" t="str">
        <f>IFERROR(VLOOKUP($C121,'【入力用②】案件ごと売上（D案件以上）'!$B$4:$Y$1048576,5,FALSE),"-")</f>
        <v>-</v>
      </c>
      <c r="H121" s="12" t="str">
        <f>IFERROR(VLOOKUP($C121,'【入力用②】案件ごと売上（D案件以上）'!$B$4:$Y$1048576,6,FALSE),"-")</f>
        <v>-</v>
      </c>
      <c r="I121" s="13" t="str">
        <f>IFERROR(VLOOKUP($C121,'【入力用②】案件ごと売上（D案件以上）'!$B$4:$Y$1048576,8,FALSE),"-")</f>
        <v>-</v>
      </c>
      <c r="J121" s="13">
        <f t="shared" si="22"/>
        <v>0</v>
      </c>
      <c r="K121" s="57" t="str">
        <f t="shared" si="19"/>
        <v>-</v>
      </c>
      <c r="L121" s="13" t="str">
        <f>IFERROR(VLOOKUP($C121,'【入力用②】案件ごと売上（D案件以上）'!$B$4:$Y$1048576,11,FALSE),"-")</f>
        <v>-</v>
      </c>
      <c r="M121" s="13" t="str">
        <f t="shared" si="16"/>
        <v>-</v>
      </c>
      <c r="N121" s="43"/>
      <c r="O121" s="54"/>
      <c r="P121" s="54"/>
      <c r="Q121" s="54"/>
      <c r="R121" s="54"/>
      <c r="S121" s="54"/>
      <c r="T121" s="54"/>
      <c r="U121" s="54"/>
      <c r="V121" s="54"/>
      <c r="W121" s="54"/>
      <c r="X121" s="54"/>
      <c r="Y121" s="54"/>
      <c r="Z121" s="54"/>
      <c r="AA121" s="13" t="str">
        <f>IFERROR(VLOOKUP($N121,【管理用】BR_260204!$B$3:$D$20,3,FALSE)*O121,"-")</f>
        <v>-</v>
      </c>
      <c r="AB121" s="13" t="str">
        <f>IFERROR(VLOOKUP($N121,【管理用】BR_260204!$B$3:$D$20,3,FALSE)*P121,"-")</f>
        <v>-</v>
      </c>
      <c r="AC121" s="13" t="str">
        <f>IFERROR(VLOOKUP($N121,【管理用】BR_260204!$B$3:$D$20,3,FALSE)*Q121,"-")</f>
        <v>-</v>
      </c>
      <c r="AD121" s="13" t="str">
        <f>IFERROR(VLOOKUP($N121,【管理用】BR_260204!$B$3:$D$20,3,FALSE)*R121,"-")</f>
        <v>-</v>
      </c>
      <c r="AE121" s="13" t="str">
        <f>IFERROR(VLOOKUP($N121,【管理用】BR_260204!$B$3:$D$20,3,FALSE)*S121,"-")</f>
        <v>-</v>
      </c>
      <c r="AF121" s="13" t="str">
        <f>IFERROR(VLOOKUP($N121,【管理用】BR_260204!$B$3:$D$20,3,FALSE)*T121,"-")</f>
        <v>-</v>
      </c>
      <c r="AG121" s="13" t="str">
        <f>IFERROR(VLOOKUP($N121,【管理用】BR_260204!$B$3:$D$20,3,FALSE)*U121,"-")</f>
        <v>-</v>
      </c>
      <c r="AH121" s="13" t="str">
        <f>IFERROR(VLOOKUP($N121,【管理用】BR_260204!$B$3:$D$20,3,FALSE)*V121,"-")</f>
        <v>-</v>
      </c>
      <c r="AI121" s="13" t="str">
        <f>IFERROR(VLOOKUP($N121,【管理用】BR_260204!$B$3:$D$20,3,FALSE)*W121,"-")</f>
        <v>-</v>
      </c>
      <c r="AJ121" s="13" t="str">
        <f>IFERROR(VLOOKUP($N121,【管理用】BR_260204!$B$3:$D$20,3,FALSE)*X121,"-")</f>
        <v>-</v>
      </c>
      <c r="AK121" s="13" t="str">
        <f>IFERROR(VLOOKUP($N121,【管理用】BR_260204!$B$3:$D$20,3,FALSE)*Y121,"-")</f>
        <v>-</v>
      </c>
      <c r="AL121" s="13" t="str">
        <f>IFERROR(VLOOKUP($N121,【管理用】BR_260204!$B$3:$D$20,3,FALSE)*Z121,"-")</f>
        <v>-</v>
      </c>
      <c r="AM121" s="13">
        <f t="shared" si="15"/>
        <v>0</v>
      </c>
      <c r="AN121" s="37" t="s">
        <v>355</v>
      </c>
      <c r="AP121" s="91"/>
    </row>
    <row r="122" spans="2:42">
      <c r="B122" s="45">
        <f t="shared" si="23"/>
        <v>118</v>
      </c>
      <c r="C122" s="43"/>
      <c r="D122" s="12" t="str">
        <f>IFERROR(VLOOKUP($C122,'【入力用②】案件ごと売上（D案件以上）'!$B$4:$Y$1048576,2,FALSE),"-")</f>
        <v>-</v>
      </c>
      <c r="E122" s="12" t="str">
        <f>IFERROR(VLOOKUP($C122,'【入力用②】案件ごと売上（D案件以上）'!$B$4:$Y$1048576,3,FALSE),"-")</f>
        <v>-</v>
      </c>
      <c r="F122" s="12" t="str">
        <f>IFERROR(VLOOKUP($C122,'【入力用②】案件ごと売上（D案件以上）'!$B$4:$Y$1048576,4,FALSE),"-")</f>
        <v>-</v>
      </c>
      <c r="G122" s="12" t="str">
        <f>IFERROR(VLOOKUP($C122,'【入力用②】案件ごと売上（D案件以上）'!$B$4:$Y$1048576,5,FALSE),"-")</f>
        <v>-</v>
      </c>
      <c r="H122" s="12" t="str">
        <f>IFERROR(VLOOKUP($C122,'【入力用②】案件ごと売上（D案件以上）'!$B$4:$Y$1048576,6,FALSE),"-")</f>
        <v>-</v>
      </c>
      <c r="I122" s="13" t="str">
        <f>IFERROR(VLOOKUP($C122,'【入力用②】案件ごと売上（D案件以上）'!$B$4:$Y$1048576,8,FALSE),"-")</f>
        <v>-</v>
      </c>
      <c r="J122" s="13">
        <f t="shared" si="22"/>
        <v>0</v>
      </c>
      <c r="K122" s="57" t="str">
        <f t="shared" si="19"/>
        <v>-</v>
      </c>
      <c r="L122" s="13" t="str">
        <f>IFERROR(VLOOKUP($C122,'【入力用②】案件ごと売上（D案件以上）'!$B$4:$Y$1048576,11,FALSE),"-")</f>
        <v>-</v>
      </c>
      <c r="M122" s="13" t="str">
        <f t="shared" si="16"/>
        <v>-</v>
      </c>
      <c r="N122" s="43"/>
      <c r="O122" s="54"/>
      <c r="P122" s="54"/>
      <c r="Q122" s="54"/>
      <c r="R122" s="54"/>
      <c r="S122" s="54"/>
      <c r="T122" s="54"/>
      <c r="U122" s="54"/>
      <c r="V122" s="54"/>
      <c r="W122" s="54"/>
      <c r="X122" s="54"/>
      <c r="Y122" s="54"/>
      <c r="Z122" s="54"/>
      <c r="AA122" s="13" t="str">
        <f>IFERROR(VLOOKUP($N122,【管理用】BR_260204!$B$3:$D$20,3,FALSE)*O122,"-")</f>
        <v>-</v>
      </c>
      <c r="AB122" s="13" t="str">
        <f>IFERROR(VLOOKUP($N122,【管理用】BR_260204!$B$3:$D$20,3,FALSE)*P122,"-")</f>
        <v>-</v>
      </c>
      <c r="AC122" s="13" t="str">
        <f>IFERROR(VLOOKUP($N122,【管理用】BR_260204!$B$3:$D$20,3,FALSE)*Q122,"-")</f>
        <v>-</v>
      </c>
      <c r="AD122" s="13" t="str">
        <f>IFERROR(VLOOKUP($N122,【管理用】BR_260204!$B$3:$D$20,3,FALSE)*R122,"-")</f>
        <v>-</v>
      </c>
      <c r="AE122" s="13" t="str">
        <f>IFERROR(VLOOKUP($N122,【管理用】BR_260204!$B$3:$D$20,3,FALSE)*S122,"-")</f>
        <v>-</v>
      </c>
      <c r="AF122" s="13" t="str">
        <f>IFERROR(VLOOKUP($N122,【管理用】BR_260204!$B$3:$D$20,3,FALSE)*T122,"-")</f>
        <v>-</v>
      </c>
      <c r="AG122" s="13" t="str">
        <f>IFERROR(VLOOKUP($N122,【管理用】BR_260204!$B$3:$D$20,3,FALSE)*U122,"-")</f>
        <v>-</v>
      </c>
      <c r="AH122" s="13" t="str">
        <f>IFERROR(VLOOKUP($N122,【管理用】BR_260204!$B$3:$D$20,3,FALSE)*V122,"-")</f>
        <v>-</v>
      </c>
      <c r="AI122" s="13" t="str">
        <f>IFERROR(VLOOKUP($N122,【管理用】BR_260204!$B$3:$D$20,3,FALSE)*W122,"-")</f>
        <v>-</v>
      </c>
      <c r="AJ122" s="13" t="str">
        <f>IFERROR(VLOOKUP($N122,【管理用】BR_260204!$B$3:$D$20,3,FALSE)*X122,"-")</f>
        <v>-</v>
      </c>
      <c r="AK122" s="13" t="str">
        <f>IFERROR(VLOOKUP($N122,【管理用】BR_260204!$B$3:$D$20,3,FALSE)*Y122,"-")</f>
        <v>-</v>
      </c>
      <c r="AL122" s="13" t="str">
        <f>IFERROR(VLOOKUP($N122,【管理用】BR_260204!$B$3:$D$20,3,FALSE)*Z122,"-")</f>
        <v>-</v>
      </c>
      <c r="AM122" s="13">
        <f t="shared" si="15"/>
        <v>0</v>
      </c>
      <c r="AN122" s="37" t="s">
        <v>355</v>
      </c>
      <c r="AP122" s="91"/>
    </row>
    <row r="123" spans="2:42">
      <c r="B123" s="45">
        <f t="shared" si="23"/>
        <v>119</v>
      </c>
      <c r="C123" s="43"/>
      <c r="D123" s="12" t="str">
        <f>IFERROR(VLOOKUP($C123,'【入力用②】案件ごと売上（D案件以上）'!$B$4:$Y$1048576,2,FALSE),"-")</f>
        <v>-</v>
      </c>
      <c r="E123" s="12" t="str">
        <f>IFERROR(VLOOKUP($C123,'【入力用②】案件ごと売上（D案件以上）'!$B$4:$Y$1048576,3,FALSE),"-")</f>
        <v>-</v>
      </c>
      <c r="F123" s="12" t="str">
        <f>IFERROR(VLOOKUP($C123,'【入力用②】案件ごと売上（D案件以上）'!$B$4:$Y$1048576,4,FALSE),"-")</f>
        <v>-</v>
      </c>
      <c r="G123" s="12" t="str">
        <f>IFERROR(VLOOKUP($C123,'【入力用②】案件ごと売上（D案件以上）'!$B$4:$Y$1048576,5,FALSE),"-")</f>
        <v>-</v>
      </c>
      <c r="H123" s="12" t="str">
        <f>IFERROR(VLOOKUP($C123,'【入力用②】案件ごと売上（D案件以上）'!$B$4:$Y$1048576,6,FALSE),"-")</f>
        <v>-</v>
      </c>
      <c r="I123" s="13" t="str">
        <f>IFERROR(VLOOKUP($C123,'【入力用②】案件ごと売上（D案件以上）'!$B$4:$Y$1048576,8,FALSE),"-")</f>
        <v>-</v>
      </c>
      <c r="J123" s="13">
        <f t="shared" si="22"/>
        <v>0</v>
      </c>
      <c r="K123" s="57" t="str">
        <f t="shared" si="19"/>
        <v>-</v>
      </c>
      <c r="L123" s="13" t="str">
        <f>IFERROR(VLOOKUP($C123,'【入力用②】案件ごと売上（D案件以上）'!$B$4:$Y$1048576,11,FALSE),"-")</f>
        <v>-</v>
      </c>
      <c r="M123" s="13" t="str">
        <f t="shared" si="16"/>
        <v>-</v>
      </c>
      <c r="N123" s="43"/>
      <c r="O123" s="54"/>
      <c r="P123" s="54"/>
      <c r="Q123" s="54"/>
      <c r="R123" s="54"/>
      <c r="S123" s="54"/>
      <c r="T123" s="54"/>
      <c r="U123" s="54"/>
      <c r="V123" s="54"/>
      <c r="W123" s="54"/>
      <c r="X123" s="54"/>
      <c r="Y123" s="54"/>
      <c r="Z123" s="54"/>
      <c r="AA123" s="13" t="str">
        <f>IFERROR(VLOOKUP($N123,【管理用】BR_260204!$B$3:$D$20,3,FALSE)*O123,"-")</f>
        <v>-</v>
      </c>
      <c r="AB123" s="13" t="str">
        <f>IFERROR(VLOOKUP($N123,【管理用】BR_260204!$B$3:$D$20,3,FALSE)*P123,"-")</f>
        <v>-</v>
      </c>
      <c r="AC123" s="13" t="str">
        <f>IFERROR(VLOOKUP($N123,【管理用】BR_260204!$B$3:$D$20,3,FALSE)*Q123,"-")</f>
        <v>-</v>
      </c>
      <c r="AD123" s="13" t="str">
        <f>IFERROR(VLOOKUP($N123,【管理用】BR_260204!$B$3:$D$20,3,FALSE)*R123,"-")</f>
        <v>-</v>
      </c>
      <c r="AE123" s="13" t="str">
        <f>IFERROR(VLOOKUP($N123,【管理用】BR_260204!$B$3:$D$20,3,FALSE)*S123,"-")</f>
        <v>-</v>
      </c>
      <c r="AF123" s="13" t="str">
        <f>IFERROR(VLOOKUP($N123,【管理用】BR_260204!$B$3:$D$20,3,FALSE)*T123,"-")</f>
        <v>-</v>
      </c>
      <c r="AG123" s="13" t="str">
        <f>IFERROR(VLOOKUP($N123,【管理用】BR_260204!$B$3:$D$20,3,FALSE)*U123,"-")</f>
        <v>-</v>
      </c>
      <c r="AH123" s="13" t="str">
        <f>IFERROR(VLOOKUP($N123,【管理用】BR_260204!$B$3:$D$20,3,FALSE)*V123,"-")</f>
        <v>-</v>
      </c>
      <c r="AI123" s="13" t="str">
        <f>IFERROR(VLOOKUP($N123,【管理用】BR_260204!$B$3:$D$20,3,FALSE)*W123,"-")</f>
        <v>-</v>
      </c>
      <c r="AJ123" s="13" t="str">
        <f>IFERROR(VLOOKUP($N123,【管理用】BR_260204!$B$3:$D$20,3,FALSE)*X123,"-")</f>
        <v>-</v>
      </c>
      <c r="AK123" s="13" t="str">
        <f>IFERROR(VLOOKUP($N123,【管理用】BR_260204!$B$3:$D$20,3,FALSE)*Y123,"-")</f>
        <v>-</v>
      </c>
      <c r="AL123" s="13" t="str">
        <f>IFERROR(VLOOKUP($N123,【管理用】BR_260204!$B$3:$D$20,3,FALSE)*Z123,"-")</f>
        <v>-</v>
      </c>
      <c r="AM123" s="13">
        <f t="shared" si="15"/>
        <v>0</v>
      </c>
      <c r="AN123" s="37" t="s">
        <v>355</v>
      </c>
      <c r="AP123" s="91"/>
    </row>
    <row r="124" spans="2:42">
      <c r="B124" s="45">
        <f t="shared" si="23"/>
        <v>120</v>
      </c>
      <c r="C124" s="43"/>
      <c r="D124" s="12" t="str">
        <f>IFERROR(VLOOKUP($C124,'【入力用②】案件ごと売上（D案件以上）'!$B$4:$Y$1048576,2,FALSE),"-")</f>
        <v>-</v>
      </c>
      <c r="E124" s="12" t="str">
        <f>IFERROR(VLOOKUP($C124,'【入力用②】案件ごと売上（D案件以上）'!$B$4:$Y$1048576,3,FALSE),"-")</f>
        <v>-</v>
      </c>
      <c r="F124" s="12" t="str">
        <f>IFERROR(VLOOKUP($C124,'【入力用②】案件ごと売上（D案件以上）'!$B$4:$Y$1048576,4,FALSE),"-")</f>
        <v>-</v>
      </c>
      <c r="G124" s="12" t="str">
        <f>IFERROR(VLOOKUP($C124,'【入力用②】案件ごと売上（D案件以上）'!$B$4:$Y$1048576,5,FALSE),"-")</f>
        <v>-</v>
      </c>
      <c r="H124" s="12" t="str">
        <f>IFERROR(VLOOKUP($C124,'【入力用②】案件ごと売上（D案件以上）'!$B$4:$Y$1048576,6,FALSE),"-")</f>
        <v>-</v>
      </c>
      <c r="I124" s="13" t="str">
        <f>IFERROR(VLOOKUP($C124,'【入力用②】案件ごと売上（D案件以上）'!$B$4:$Y$1048576,8,FALSE),"-")</f>
        <v>-</v>
      </c>
      <c r="J124" s="13">
        <f t="shared" si="22"/>
        <v>0</v>
      </c>
      <c r="K124" s="57" t="str">
        <f t="shared" si="19"/>
        <v>-</v>
      </c>
      <c r="L124" s="13" t="str">
        <f>IFERROR(VLOOKUP($C124,'【入力用②】案件ごと売上（D案件以上）'!$B$4:$Y$1048576,11,FALSE),"-")</f>
        <v>-</v>
      </c>
      <c r="M124" s="13" t="str">
        <f t="shared" si="16"/>
        <v>-</v>
      </c>
      <c r="N124" s="43"/>
      <c r="O124" s="54"/>
      <c r="P124" s="54"/>
      <c r="Q124" s="54"/>
      <c r="R124" s="54"/>
      <c r="S124" s="54"/>
      <c r="T124" s="54"/>
      <c r="U124" s="54"/>
      <c r="V124" s="54"/>
      <c r="W124" s="54"/>
      <c r="X124" s="54"/>
      <c r="Y124" s="54"/>
      <c r="Z124" s="54"/>
      <c r="AA124" s="13" t="str">
        <f>IFERROR(VLOOKUP($N124,【管理用】BR_260204!$B$3:$D$20,3,FALSE)*O124,"-")</f>
        <v>-</v>
      </c>
      <c r="AB124" s="13" t="str">
        <f>IFERROR(VLOOKUP($N124,【管理用】BR_260204!$B$3:$D$20,3,FALSE)*P124,"-")</f>
        <v>-</v>
      </c>
      <c r="AC124" s="13" t="str">
        <f>IFERROR(VLOOKUP($N124,【管理用】BR_260204!$B$3:$D$20,3,FALSE)*Q124,"-")</f>
        <v>-</v>
      </c>
      <c r="AD124" s="13" t="str">
        <f>IFERROR(VLOOKUP($N124,【管理用】BR_260204!$B$3:$D$20,3,FALSE)*R124,"-")</f>
        <v>-</v>
      </c>
      <c r="AE124" s="13" t="str">
        <f>IFERROR(VLOOKUP($N124,【管理用】BR_260204!$B$3:$D$20,3,FALSE)*S124,"-")</f>
        <v>-</v>
      </c>
      <c r="AF124" s="13" t="str">
        <f>IFERROR(VLOOKUP($N124,【管理用】BR_260204!$B$3:$D$20,3,FALSE)*T124,"-")</f>
        <v>-</v>
      </c>
      <c r="AG124" s="13" t="str">
        <f>IFERROR(VLOOKUP($N124,【管理用】BR_260204!$B$3:$D$20,3,FALSE)*U124,"-")</f>
        <v>-</v>
      </c>
      <c r="AH124" s="13" t="str">
        <f>IFERROR(VLOOKUP($N124,【管理用】BR_260204!$B$3:$D$20,3,FALSE)*V124,"-")</f>
        <v>-</v>
      </c>
      <c r="AI124" s="13" t="str">
        <f>IFERROR(VLOOKUP($N124,【管理用】BR_260204!$B$3:$D$20,3,FALSE)*W124,"-")</f>
        <v>-</v>
      </c>
      <c r="AJ124" s="13" t="str">
        <f>IFERROR(VLOOKUP($N124,【管理用】BR_260204!$B$3:$D$20,3,FALSE)*X124,"-")</f>
        <v>-</v>
      </c>
      <c r="AK124" s="13" t="str">
        <f>IFERROR(VLOOKUP($N124,【管理用】BR_260204!$B$3:$D$20,3,FALSE)*Y124,"-")</f>
        <v>-</v>
      </c>
      <c r="AL124" s="13" t="str">
        <f>IFERROR(VLOOKUP($N124,【管理用】BR_260204!$B$3:$D$20,3,FALSE)*Z124,"-")</f>
        <v>-</v>
      </c>
      <c r="AM124" s="13">
        <f t="shared" si="15"/>
        <v>0</v>
      </c>
      <c r="AN124" s="37" t="s">
        <v>355</v>
      </c>
      <c r="AP124" s="91"/>
    </row>
    <row r="125" spans="2:42">
      <c r="B125" s="45">
        <f t="shared" si="23"/>
        <v>121</v>
      </c>
      <c r="C125" s="43"/>
      <c r="D125" s="12" t="str">
        <f>IFERROR(VLOOKUP($C125,'【入力用②】案件ごと売上（D案件以上）'!$B$4:$Y$1048576,2,FALSE),"-")</f>
        <v>-</v>
      </c>
      <c r="E125" s="12" t="str">
        <f>IFERROR(VLOOKUP($C125,'【入力用②】案件ごと売上（D案件以上）'!$B$4:$Y$1048576,3,FALSE),"-")</f>
        <v>-</v>
      </c>
      <c r="F125" s="12" t="str">
        <f>IFERROR(VLOOKUP($C125,'【入力用②】案件ごと売上（D案件以上）'!$B$4:$Y$1048576,4,FALSE),"-")</f>
        <v>-</v>
      </c>
      <c r="G125" s="12" t="str">
        <f>IFERROR(VLOOKUP($C125,'【入力用②】案件ごと売上（D案件以上）'!$B$4:$Y$1048576,5,FALSE),"-")</f>
        <v>-</v>
      </c>
      <c r="H125" s="12" t="str">
        <f>IFERROR(VLOOKUP($C125,'【入力用②】案件ごと売上（D案件以上）'!$B$4:$Y$1048576,6,FALSE),"-")</f>
        <v>-</v>
      </c>
      <c r="I125" s="13" t="str">
        <f>IFERROR(VLOOKUP($C125,'【入力用②】案件ごと売上（D案件以上）'!$B$4:$Y$1048576,8,FALSE),"-")</f>
        <v>-</v>
      </c>
      <c r="J125" s="13">
        <f t="shared" si="22"/>
        <v>0</v>
      </c>
      <c r="K125" s="57" t="str">
        <f t="shared" si="19"/>
        <v>-</v>
      </c>
      <c r="L125" s="13" t="str">
        <f>IFERROR(VLOOKUP($C125,'【入力用②】案件ごと売上（D案件以上）'!$B$4:$Y$1048576,11,FALSE),"-")</f>
        <v>-</v>
      </c>
      <c r="M125" s="13" t="str">
        <f t="shared" si="16"/>
        <v>-</v>
      </c>
      <c r="N125" s="43"/>
      <c r="O125" s="54"/>
      <c r="P125" s="54"/>
      <c r="Q125" s="54"/>
      <c r="R125" s="54"/>
      <c r="S125" s="54"/>
      <c r="T125" s="54"/>
      <c r="U125" s="54"/>
      <c r="V125" s="54"/>
      <c r="W125" s="54"/>
      <c r="X125" s="54"/>
      <c r="Y125" s="54"/>
      <c r="Z125" s="54"/>
      <c r="AA125" s="13" t="str">
        <f>IFERROR(VLOOKUP($N125,【管理用】BR_260204!$B$3:$D$20,3,FALSE)*O125,"-")</f>
        <v>-</v>
      </c>
      <c r="AB125" s="13" t="str">
        <f>IFERROR(VLOOKUP($N125,【管理用】BR_260204!$B$3:$D$20,3,FALSE)*P125,"-")</f>
        <v>-</v>
      </c>
      <c r="AC125" s="13" t="str">
        <f>IFERROR(VLOOKUP($N125,【管理用】BR_260204!$B$3:$D$20,3,FALSE)*Q125,"-")</f>
        <v>-</v>
      </c>
      <c r="AD125" s="13" t="str">
        <f>IFERROR(VLOOKUP($N125,【管理用】BR_260204!$B$3:$D$20,3,FALSE)*R125,"-")</f>
        <v>-</v>
      </c>
      <c r="AE125" s="13" t="str">
        <f>IFERROR(VLOOKUP($N125,【管理用】BR_260204!$B$3:$D$20,3,FALSE)*S125,"-")</f>
        <v>-</v>
      </c>
      <c r="AF125" s="13" t="str">
        <f>IFERROR(VLOOKUP($N125,【管理用】BR_260204!$B$3:$D$20,3,FALSE)*T125,"-")</f>
        <v>-</v>
      </c>
      <c r="AG125" s="13" t="str">
        <f>IFERROR(VLOOKUP($N125,【管理用】BR_260204!$B$3:$D$20,3,FALSE)*U125,"-")</f>
        <v>-</v>
      </c>
      <c r="AH125" s="13" t="str">
        <f>IFERROR(VLOOKUP($N125,【管理用】BR_260204!$B$3:$D$20,3,FALSE)*V125,"-")</f>
        <v>-</v>
      </c>
      <c r="AI125" s="13" t="str">
        <f>IFERROR(VLOOKUP($N125,【管理用】BR_260204!$B$3:$D$20,3,FALSE)*W125,"-")</f>
        <v>-</v>
      </c>
      <c r="AJ125" s="13" t="str">
        <f>IFERROR(VLOOKUP($N125,【管理用】BR_260204!$B$3:$D$20,3,FALSE)*X125,"-")</f>
        <v>-</v>
      </c>
      <c r="AK125" s="13" t="str">
        <f>IFERROR(VLOOKUP($N125,【管理用】BR_260204!$B$3:$D$20,3,FALSE)*Y125,"-")</f>
        <v>-</v>
      </c>
      <c r="AL125" s="13" t="str">
        <f>IFERROR(VLOOKUP($N125,【管理用】BR_260204!$B$3:$D$20,3,FALSE)*Z125,"-")</f>
        <v>-</v>
      </c>
      <c r="AM125" s="13">
        <f t="shared" si="15"/>
        <v>0</v>
      </c>
      <c r="AN125" s="37" t="s">
        <v>355</v>
      </c>
      <c r="AP125" s="91"/>
    </row>
    <row r="126" spans="2:42">
      <c r="B126" s="45">
        <f t="shared" si="23"/>
        <v>122</v>
      </c>
      <c r="C126" s="43"/>
      <c r="D126" s="12" t="str">
        <f>IFERROR(VLOOKUP($C126,'【入力用②】案件ごと売上（D案件以上）'!$B$4:$Y$1048576,2,FALSE),"-")</f>
        <v>-</v>
      </c>
      <c r="E126" s="12" t="str">
        <f>IFERROR(VLOOKUP($C126,'【入力用②】案件ごと売上（D案件以上）'!$B$4:$Y$1048576,3,FALSE),"-")</f>
        <v>-</v>
      </c>
      <c r="F126" s="12" t="str">
        <f>IFERROR(VLOOKUP($C126,'【入力用②】案件ごと売上（D案件以上）'!$B$4:$Y$1048576,4,FALSE),"-")</f>
        <v>-</v>
      </c>
      <c r="G126" s="12" t="str">
        <f>IFERROR(VLOOKUP($C126,'【入力用②】案件ごと売上（D案件以上）'!$B$4:$Y$1048576,5,FALSE),"-")</f>
        <v>-</v>
      </c>
      <c r="H126" s="12" t="str">
        <f>IFERROR(VLOOKUP($C126,'【入力用②】案件ごと売上（D案件以上）'!$B$4:$Y$1048576,6,FALSE),"-")</f>
        <v>-</v>
      </c>
      <c r="I126" s="13" t="str">
        <f>IFERROR(VLOOKUP($C126,'【入力用②】案件ごと売上（D案件以上）'!$B$4:$Y$1048576,8,FALSE),"-")</f>
        <v>-</v>
      </c>
      <c r="J126" s="13">
        <f t="shared" si="22"/>
        <v>0</v>
      </c>
      <c r="K126" s="57" t="str">
        <f t="shared" si="19"/>
        <v>-</v>
      </c>
      <c r="L126" s="13" t="str">
        <f>IFERROR(VLOOKUP($C126,'【入力用②】案件ごと売上（D案件以上）'!$B$4:$Y$1048576,11,FALSE),"-")</f>
        <v>-</v>
      </c>
      <c r="M126" s="13" t="str">
        <f t="shared" ref="M126:M150" si="24">IFERROR(I126/L126,"-")</f>
        <v>-</v>
      </c>
      <c r="N126" s="43"/>
      <c r="O126" s="54"/>
      <c r="P126" s="54"/>
      <c r="Q126" s="54"/>
      <c r="R126" s="54"/>
      <c r="S126" s="54"/>
      <c r="T126" s="54"/>
      <c r="U126" s="54"/>
      <c r="V126" s="54"/>
      <c r="W126" s="54"/>
      <c r="X126" s="54"/>
      <c r="Y126" s="54"/>
      <c r="Z126" s="54"/>
      <c r="AA126" s="13" t="str">
        <f>IFERROR(VLOOKUP($N126,【管理用】BR_260204!$B$3:$D$20,3,FALSE)*O126,"-")</f>
        <v>-</v>
      </c>
      <c r="AB126" s="13" t="str">
        <f>IFERROR(VLOOKUP($N126,【管理用】BR_260204!$B$3:$D$20,3,FALSE)*P126,"-")</f>
        <v>-</v>
      </c>
      <c r="AC126" s="13" t="str">
        <f>IFERROR(VLOOKUP($N126,【管理用】BR_260204!$B$3:$D$20,3,FALSE)*Q126,"-")</f>
        <v>-</v>
      </c>
      <c r="AD126" s="13" t="str">
        <f>IFERROR(VLOOKUP($N126,【管理用】BR_260204!$B$3:$D$20,3,FALSE)*R126,"-")</f>
        <v>-</v>
      </c>
      <c r="AE126" s="13" t="str">
        <f>IFERROR(VLOOKUP($N126,【管理用】BR_260204!$B$3:$D$20,3,FALSE)*S126,"-")</f>
        <v>-</v>
      </c>
      <c r="AF126" s="13" t="str">
        <f>IFERROR(VLOOKUP($N126,【管理用】BR_260204!$B$3:$D$20,3,FALSE)*T126,"-")</f>
        <v>-</v>
      </c>
      <c r="AG126" s="13" t="str">
        <f>IFERROR(VLOOKUP($N126,【管理用】BR_260204!$B$3:$D$20,3,FALSE)*U126,"-")</f>
        <v>-</v>
      </c>
      <c r="AH126" s="13" t="str">
        <f>IFERROR(VLOOKUP($N126,【管理用】BR_260204!$B$3:$D$20,3,FALSE)*V126,"-")</f>
        <v>-</v>
      </c>
      <c r="AI126" s="13" t="str">
        <f>IFERROR(VLOOKUP($N126,【管理用】BR_260204!$B$3:$D$20,3,FALSE)*W126,"-")</f>
        <v>-</v>
      </c>
      <c r="AJ126" s="13" t="str">
        <f>IFERROR(VLOOKUP($N126,【管理用】BR_260204!$B$3:$D$20,3,FALSE)*X126,"-")</f>
        <v>-</v>
      </c>
      <c r="AK126" s="13" t="str">
        <f>IFERROR(VLOOKUP($N126,【管理用】BR_260204!$B$3:$D$20,3,FALSE)*Y126,"-")</f>
        <v>-</v>
      </c>
      <c r="AL126" s="13" t="str">
        <f>IFERROR(VLOOKUP($N126,【管理用】BR_260204!$B$3:$D$20,3,FALSE)*Z126,"-")</f>
        <v>-</v>
      </c>
      <c r="AM126" s="13">
        <f t="shared" ref="AM126:AM150" si="25">SUM(AA126:AL126)</f>
        <v>0</v>
      </c>
      <c r="AN126" s="37" t="s">
        <v>355</v>
      </c>
      <c r="AP126" s="91"/>
    </row>
    <row r="127" spans="2:42">
      <c r="B127" s="45">
        <f t="shared" si="23"/>
        <v>123</v>
      </c>
      <c r="C127" s="43"/>
      <c r="D127" s="12" t="str">
        <f>IFERROR(VLOOKUP($C127,'【入力用②】案件ごと売上（D案件以上）'!$B$4:$Y$1048576,2,FALSE),"-")</f>
        <v>-</v>
      </c>
      <c r="E127" s="12" t="str">
        <f>IFERROR(VLOOKUP($C127,'【入力用②】案件ごと売上（D案件以上）'!$B$4:$Y$1048576,3,FALSE),"-")</f>
        <v>-</v>
      </c>
      <c r="F127" s="12" t="str">
        <f>IFERROR(VLOOKUP($C127,'【入力用②】案件ごと売上（D案件以上）'!$B$4:$Y$1048576,4,FALSE),"-")</f>
        <v>-</v>
      </c>
      <c r="G127" s="12" t="str">
        <f>IFERROR(VLOOKUP($C127,'【入力用②】案件ごと売上（D案件以上）'!$B$4:$Y$1048576,5,FALSE),"-")</f>
        <v>-</v>
      </c>
      <c r="H127" s="12" t="str">
        <f>IFERROR(VLOOKUP($C127,'【入力用②】案件ごと売上（D案件以上）'!$B$4:$Y$1048576,6,FALSE),"-")</f>
        <v>-</v>
      </c>
      <c r="I127" s="13" t="str">
        <f>IFERROR(VLOOKUP($C127,'【入力用②】案件ごと売上（D案件以上）'!$B$4:$Y$1048576,8,FALSE),"-")</f>
        <v>-</v>
      </c>
      <c r="J127" s="13">
        <f t="shared" si="22"/>
        <v>0</v>
      </c>
      <c r="K127" s="57" t="str">
        <f t="shared" si="19"/>
        <v>-</v>
      </c>
      <c r="L127" s="13" t="str">
        <f>IFERROR(VLOOKUP($C127,'【入力用②】案件ごと売上（D案件以上）'!$B$4:$Y$1048576,11,FALSE),"-")</f>
        <v>-</v>
      </c>
      <c r="M127" s="13" t="str">
        <f t="shared" si="24"/>
        <v>-</v>
      </c>
      <c r="N127" s="43"/>
      <c r="O127" s="54"/>
      <c r="P127" s="54"/>
      <c r="Q127" s="54"/>
      <c r="R127" s="54"/>
      <c r="S127" s="54"/>
      <c r="T127" s="54"/>
      <c r="U127" s="54"/>
      <c r="V127" s="54"/>
      <c r="W127" s="54"/>
      <c r="X127" s="54"/>
      <c r="Y127" s="54"/>
      <c r="Z127" s="54"/>
      <c r="AA127" s="13" t="str">
        <f>IFERROR(VLOOKUP($N127,【管理用】BR_260204!$B$3:$D$20,3,FALSE)*O127,"-")</f>
        <v>-</v>
      </c>
      <c r="AB127" s="13" t="str">
        <f>IFERROR(VLOOKUP($N127,【管理用】BR_260204!$B$3:$D$20,3,FALSE)*P127,"-")</f>
        <v>-</v>
      </c>
      <c r="AC127" s="13" t="str">
        <f>IFERROR(VLOOKUP($N127,【管理用】BR_260204!$B$3:$D$20,3,FALSE)*Q127,"-")</f>
        <v>-</v>
      </c>
      <c r="AD127" s="13" t="str">
        <f>IFERROR(VLOOKUP($N127,【管理用】BR_260204!$B$3:$D$20,3,FALSE)*R127,"-")</f>
        <v>-</v>
      </c>
      <c r="AE127" s="13" t="str">
        <f>IFERROR(VLOOKUP($N127,【管理用】BR_260204!$B$3:$D$20,3,FALSE)*S127,"-")</f>
        <v>-</v>
      </c>
      <c r="AF127" s="13" t="str">
        <f>IFERROR(VLOOKUP($N127,【管理用】BR_260204!$B$3:$D$20,3,FALSE)*T127,"-")</f>
        <v>-</v>
      </c>
      <c r="AG127" s="13" t="str">
        <f>IFERROR(VLOOKUP($N127,【管理用】BR_260204!$B$3:$D$20,3,FALSE)*U127,"-")</f>
        <v>-</v>
      </c>
      <c r="AH127" s="13" t="str">
        <f>IFERROR(VLOOKUP($N127,【管理用】BR_260204!$B$3:$D$20,3,FALSE)*V127,"-")</f>
        <v>-</v>
      </c>
      <c r="AI127" s="13" t="str">
        <f>IFERROR(VLOOKUP($N127,【管理用】BR_260204!$B$3:$D$20,3,FALSE)*W127,"-")</f>
        <v>-</v>
      </c>
      <c r="AJ127" s="13" t="str">
        <f>IFERROR(VLOOKUP($N127,【管理用】BR_260204!$B$3:$D$20,3,FALSE)*X127,"-")</f>
        <v>-</v>
      </c>
      <c r="AK127" s="13" t="str">
        <f>IFERROR(VLOOKUP($N127,【管理用】BR_260204!$B$3:$D$20,3,FALSE)*Y127,"-")</f>
        <v>-</v>
      </c>
      <c r="AL127" s="13" t="str">
        <f>IFERROR(VLOOKUP($N127,【管理用】BR_260204!$B$3:$D$20,3,FALSE)*Z127,"-")</f>
        <v>-</v>
      </c>
      <c r="AM127" s="13">
        <f t="shared" si="25"/>
        <v>0</v>
      </c>
      <c r="AN127" s="37" t="s">
        <v>355</v>
      </c>
      <c r="AP127" s="91"/>
    </row>
    <row r="128" spans="2:42">
      <c r="B128" s="45">
        <f t="shared" si="23"/>
        <v>124</v>
      </c>
      <c r="C128" s="43"/>
      <c r="D128" s="12" t="str">
        <f>IFERROR(VLOOKUP($C128,'【入力用②】案件ごと売上（D案件以上）'!$B$4:$Y$1048576,2,FALSE),"-")</f>
        <v>-</v>
      </c>
      <c r="E128" s="12" t="str">
        <f>IFERROR(VLOOKUP($C128,'【入力用②】案件ごと売上（D案件以上）'!$B$4:$Y$1048576,3,FALSE),"-")</f>
        <v>-</v>
      </c>
      <c r="F128" s="12" t="str">
        <f>IFERROR(VLOOKUP($C128,'【入力用②】案件ごと売上（D案件以上）'!$B$4:$Y$1048576,4,FALSE),"-")</f>
        <v>-</v>
      </c>
      <c r="G128" s="12" t="str">
        <f>IFERROR(VLOOKUP($C128,'【入力用②】案件ごと売上（D案件以上）'!$B$4:$Y$1048576,5,FALSE),"-")</f>
        <v>-</v>
      </c>
      <c r="H128" s="12" t="str">
        <f>IFERROR(VLOOKUP($C128,'【入力用②】案件ごと売上（D案件以上）'!$B$4:$Y$1048576,6,FALSE),"-")</f>
        <v>-</v>
      </c>
      <c r="I128" s="13" t="str">
        <f>IFERROR(VLOOKUP($C128,'【入力用②】案件ごと売上（D案件以上）'!$B$4:$Y$1048576,8,FALSE),"-")</f>
        <v>-</v>
      </c>
      <c r="J128" s="13">
        <f t="shared" si="22"/>
        <v>0</v>
      </c>
      <c r="K128" s="57" t="str">
        <f t="shared" si="19"/>
        <v>-</v>
      </c>
      <c r="L128" s="13" t="str">
        <f>IFERROR(VLOOKUP($C128,'【入力用②】案件ごと売上（D案件以上）'!$B$4:$Y$1048576,11,FALSE),"-")</f>
        <v>-</v>
      </c>
      <c r="M128" s="13" t="str">
        <f t="shared" si="24"/>
        <v>-</v>
      </c>
      <c r="N128" s="43"/>
      <c r="O128" s="54"/>
      <c r="P128" s="54"/>
      <c r="Q128" s="54"/>
      <c r="R128" s="54"/>
      <c r="S128" s="54"/>
      <c r="T128" s="54"/>
      <c r="U128" s="54"/>
      <c r="V128" s="54"/>
      <c r="W128" s="54"/>
      <c r="X128" s="54"/>
      <c r="Y128" s="54"/>
      <c r="Z128" s="54"/>
      <c r="AA128" s="13" t="str">
        <f>IFERROR(VLOOKUP($N128,【管理用】BR_260204!$B$3:$D$20,3,FALSE)*O128,"-")</f>
        <v>-</v>
      </c>
      <c r="AB128" s="13" t="str">
        <f>IFERROR(VLOOKUP($N128,【管理用】BR_260204!$B$3:$D$20,3,FALSE)*P128,"-")</f>
        <v>-</v>
      </c>
      <c r="AC128" s="13" t="str">
        <f>IFERROR(VLOOKUP($N128,【管理用】BR_260204!$B$3:$D$20,3,FALSE)*Q128,"-")</f>
        <v>-</v>
      </c>
      <c r="AD128" s="13" t="str">
        <f>IFERROR(VLOOKUP($N128,【管理用】BR_260204!$B$3:$D$20,3,FALSE)*R128,"-")</f>
        <v>-</v>
      </c>
      <c r="AE128" s="13" t="str">
        <f>IFERROR(VLOOKUP($N128,【管理用】BR_260204!$B$3:$D$20,3,FALSE)*S128,"-")</f>
        <v>-</v>
      </c>
      <c r="AF128" s="13" t="str">
        <f>IFERROR(VLOOKUP($N128,【管理用】BR_260204!$B$3:$D$20,3,FALSE)*T128,"-")</f>
        <v>-</v>
      </c>
      <c r="AG128" s="13" t="str">
        <f>IFERROR(VLOOKUP($N128,【管理用】BR_260204!$B$3:$D$20,3,FALSE)*U128,"-")</f>
        <v>-</v>
      </c>
      <c r="AH128" s="13" t="str">
        <f>IFERROR(VLOOKUP($N128,【管理用】BR_260204!$B$3:$D$20,3,FALSE)*V128,"-")</f>
        <v>-</v>
      </c>
      <c r="AI128" s="13" t="str">
        <f>IFERROR(VLOOKUP($N128,【管理用】BR_260204!$B$3:$D$20,3,FALSE)*W128,"-")</f>
        <v>-</v>
      </c>
      <c r="AJ128" s="13" t="str">
        <f>IFERROR(VLOOKUP($N128,【管理用】BR_260204!$B$3:$D$20,3,FALSE)*X128,"-")</f>
        <v>-</v>
      </c>
      <c r="AK128" s="13" t="str">
        <f>IFERROR(VLOOKUP($N128,【管理用】BR_260204!$B$3:$D$20,3,FALSE)*Y128,"-")</f>
        <v>-</v>
      </c>
      <c r="AL128" s="13" t="str">
        <f>IFERROR(VLOOKUP($N128,【管理用】BR_260204!$B$3:$D$20,3,FALSE)*Z128,"-")</f>
        <v>-</v>
      </c>
      <c r="AM128" s="13">
        <f t="shared" si="25"/>
        <v>0</v>
      </c>
      <c r="AN128" s="37" t="s">
        <v>355</v>
      </c>
      <c r="AP128" s="91"/>
    </row>
    <row r="129" spans="2:42">
      <c r="B129" s="45">
        <f t="shared" si="23"/>
        <v>125</v>
      </c>
      <c r="C129" s="43"/>
      <c r="D129" s="12" t="str">
        <f>IFERROR(VLOOKUP($C129,'【入力用②】案件ごと売上（D案件以上）'!$B$4:$Y$1048576,2,FALSE),"-")</f>
        <v>-</v>
      </c>
      <c r="E129" s="12" t="str">
        <f>IFERROR(VLOOKUP($C129,'【入力用②】案件ごと売上（D案件以上）'!$B$4:$Y$1048576,3,FALSE),"-")</f>
        <v>-</v>
      </c>
      <c r="F129" s="12" t="str">
        <f>IFERROR(VLOOKUP($C129,'【入力用②】案件ごと売上（D案件以上）'!$B$4:$Y$1048576,4,FALSE),"-")</f>
        <v>-</v>
      </c>
      <c r="G129" s="12" t="str">
        <f>IFERROR(VLOOKUP($C129,'【入力用②】案件ごと売上（D案件以上）'!$B$4:$Y$1048576,5,FALSE),"-")</f>
        <v>-</v>
      </c>
      <c r="H129" s="12" t="str">
        <f>IFERROR(VLOOKUP($C129,'【入力用②】案件ごと売上（D案件以上）'!$B$4:$Y$1048576,6,FALSE),"-")</f>
        <v>-</v>
      </c>
      <c r="I129" s="13" t="str">
        <f>IFERROR(VLOOKUP($C129,'【入力用②】案件ごと売上（D案件以上）'!$B$4:$Y$1048576,8,FALSE),"-")</f>
        <v>-</v>
      </c>
      <c r="J129" s="13">
        <f t="shared" si="22"/>
        <v>0</v>
      </c>
      <c r="K129" s="57" t="str">
        <f t="shared" si="19"/>
        <v>-</v>
      </c>
      <c r="L129" s="13" t="str">
        <f>IFERROR(VLOOKUP($C129,'【入力用②】案件ごと売上（D案件以上）'!$B$4:$Y$1048576,11,FALSE),"-")</f>
        <v>-</v>
      </c>
      <c r="M129" s="13" t="str">
        <f t="shared" si="24"/>
        <v>-</v>
      </c>
      <c r="N129" s="43"/>
      <c r="O129" s="54"/>
      <c r="P129" s="54"/>
      <c r="Q129" s="54"/>
      <c r="R129" s="54"/>
      <c r="S129" s="54"/>
      <c r="T129" s="54"/>
      <c r="U129" s="54"/>
      <c r="V129" s="54"/>
      <c r="W129" s="54"/>
      <c r="X129" s="54"/>
      <c r="Y129" s="54"/>
      <c r="Z129" s="54"/>
      <c r="AA129" s="13" t="str">
        <f>IFERROR(VLOOKUP($N129,【管理用】BR_260204!$B$3:$D$20,3,FALSE)*O129,"-")</f>
        <v>-</v>
      </c>
      <c r="AB129" s="13" t="str">
        <f>IFERROR(VLOOKUP($N129,【管理用】BR_260204!$B$3:$D$20,3,FALSE)*P129,"-")</f>
        <v>-</v>
      </c>
      <c r="AC129" s="13" t="str">
        <f>IFERROR(VLOOKUP($N129,【管理用】BR_260204!$B$3:$D$20,3,FALSE)*Q129,"-")</f>
        <v>-</v>
      </c>
      <c r="AD129" s="13" t="str">
        <f>IFERROR(VLOOKUP($N129,【管理用】BR_260204!$B$3:$D$20,3,FALSE)*R129,"-")</f>
        <v>-</v>
      </c>
      <c r="AE129" s="13" t="str">
        <f>IFERROR(VLOOKUP($N129,【管理用】BR_260204!$B$3:$D$20,3,FALSE)*S129,"-")</f>
        <v>-</v>
      </c>
      <c r="AF129" s="13" t="str">
        <f>IFERROR(VLOOKUP($N129,【管理用】BR_260204!$B$3:$D$20,3,FALSE)*T129,"-")</f>
        <v>-</v>
      </c>
      <c r="AG129" s="13" t="str">
        <f>IFERROR(VLOOKUP($N129,【管理用】BR_260204!$B$3:$D$20,3,FALSE)*U129,"-")</f>
        <v>-</v>
      </c>
      <c r="AH129" s="13" t="str">
        <f>IFERROR(VLOOKUP($N129,【管理用】BR_260204!$B$3:$D$20,3,FALSE)*V129,"-")</f>
        <v>-</v>
      </c>
      <c r="AI129" s="13" t="str">
        <f>IFERROR(VLOOKUP($N129,【管理用】BR_260204!$B$3:$D$20,3,FALSE)*W129,"-")</f>
        <v>-</v>
      </c>
      <c r="AJ129" s="13" t="str">
        <f>IFERROR(VLOOKUP($N129,【管理用】BR_260204!$B$3:$D$20,3,FALSE)*X129,"-")</f>
        <v>-</v>
      </c>
      <c r="AK129" s="13" t="str">
        <f>IFERROR(VLOOKUP($N129,【管理用】BR_260204!$B$3:$D$20,3,FALSE)*Y129,"-")</f>
        <v>-</v>
      </c>
      <c r="AL129" s="13" t="str">
        <f>IFERROR(VLOOKUP($N129,【管理用】BR_260204!$B$3:$D$20,3,FALSE)*Z129,"-")</f>
        <v>-</v>
      </c>
      <c r="AM129" s="13">
        <f t="shared" si="25"/>
        <v>0</v>
      </c>
      <c r="AN129" s="37" t="s">
        <v>355</v>
      </c>
      <c r="AP129" s="91"/>
    </row>
    <row r="130" spans="2:42">
      <c r="B130" s="45">
        <f t="shared" si="23"/>
        <v>126</v>
      </c>
      <c r="C130" s="43"/>
      <c r="D130" s="12" t="str">
        <f>IFERROR(VLOOKUP($C130,'【入力用②】案件ごと売上（D案件以上）'!$B$4:$Y$1048576,2,FALSE),"-")</f>
        <v>-</v>
      </c>
      <c r="E130" s="12" t="str">
        <f>IFERROR(VLOOKUP($C130,'【入力用②】案件ごと売上（D案件以上）'!$B$4:$Y$1048576,3,FALSE),"-")</f>
        <v>-</v>
      </c>
      <c r="F130" s="12" t="str">
        <f>IFERROR(VLOOKUP($C130,'【入力用②】案件ごと売上（D案件以上）'!$B$4:$Y$1048576,4,FALSE),"-")</f>
        <v>-</v>
      </c>
      <c r="G130" s="12" t="str">
        <f>IFERROR(VLOOKUP($C130,'【入力用②】案件ごと売上（D案件以上）'!$B$4:$Y$1048576,5,FALSE),"-")</f>
        <v>-</v>
      </c>
      <c r="H130" s="12" t="str">
        <f>IFERROR(VLOOKUP($C130,'【入力用②】案件ごと売上（D案件以上）'!$B$4:$Y$1048576,6,FALSE),"-")</f>
        <v>-</v>
      </c>
      <c r="I130" s="13" t="str">
        <f>IFERROR(VLOOKUP($C130,'【入力用②】案件ごと売上（D案件以上）'!$B$4:$Y$1048576,8,FALSE),"-")</f>
        <v>-</v>
      </c>
      <c r="J130" s="13">
        <f t="shared" si="22"/>
        <v>0</v>
      </c>
      <c r="K130" s="57" t="str">
        <f t="shared" si="19"/>
        <v>-</v>
      </c>
      <c r="L130" s="13" t="str">
        <f>IFERROR(VLOOKUP($C130,'【入力用②】案件ごと売上（D案件以上）'!$B$4:$Y$1048576,11,FALSE),"-")</f>
        <v>-</v>
      </c>
      <c r="M130" s="13" t="str">
        <f t="shared" si="24"/>
        <v>-</v>
      </c>
      <c r="N130" s="43"/>
      <c r="O130" s="54"/>
      <c r="P130" s="54"/>
      <c r="Q130" s="54"/>
      <c r="R130" s="54"/>
      <c r="S130" s="54"/>
      <c r="T130" s="54"/>
      <c r="U130" s="54"/>
      <c r="V130" s="54"/>
      <c r="W130" s="54"/>
      <c r="X130" s="54"/>
      <c r="Y130" s="54"/>
      <c r="Z130" s="54"/>
      <c r="AA130" s="13" t="str">
        <f>IFERROR(VLOOKUP($N130,【管理用】BR_260204!$B$3:$D$20,3,FALSE)*O130,"-")</f>
        <v>-</v>
      </c>
      <c r="AB130" s="13" t="str">
        <f>IFERROR(VLOOKUP($N130,【管理用】BR_260204!$B$3:$D$20,3,FALSE)*P130,"-")</f>
        <v>-</v>
      </c>
      <c r="AC130" s="13" t="str">
        <f>IFERROR(VLOOKUP($N130,【管理用】BR_260204!$B$3:$D$20,3,FALSE)*Q130,"-")</f>
        <v>-</v>
      </c>
      <c r="AD130" s="13" t="str">
        <f>IFERROR(VLOOKUP($N130,【管理用】BR_260204!$B$3:$D$20,3,FALSE)*R130,"-")</f>
        <v>-</v>
      </c>
      <c r="AE130" s="13" t="str">
        <f>IFERROR(VLOOKUP($N130,【管理用】BR_260204!$B$3:$D$20,3,FALSE)*S130,"-")</f>
        <v>-</v>
      </c>
      <c r="AF130" s="13" t="str">
        <f>IFERROR(VLOOKUP($N130,【管理用】BR_260204!$B$3:$D$20,3,FALSE)*T130,"-")</f>
        <v>-</v>
      </c>
      <c r="AG130" s="13" t="str">
        <f>IFERROR(VLOOKUP($N130,【管理用】BR_260204!$B$3:$D$20,3,FALSE)*U130,"-")</f>
        <v>-</v>
      </c>
      <c r="AH130" s="13" t="str">
        <f>IFERROR(VLOOKUP($N130,【管理用】BR_260204!$B$3:$D$20,3,FALSE)*V130,"-")</f>
        <v>-</v>
      </c>
      <c r="AI130" s="13" t="str">
        <f>IFERROR(VLOOKUP($N130,【管理用】BR_260204!$B$3:$D$20,3,FALSE)*W130,"-")</f>
        <v>-</v>
      </c>
      <c r="AJ130" s="13" t="str">
        <f>IFERROR(VLOOKUP($N130,【管理用】BR_260204!$B$3:$D$20,3,FALSE)*X130,"-")</f>
        <v>-</v>
      </c>
      <c r="AK130" s="13" t="str">
        <f>IFERROR(VLOOKUP($N130,【管理用】BR_260204!$B$3:$D$20,3,FALSE)*Y130,"-")</f>
        <v>-</v>
      </c>
      <c r="AL130" s="13" t="str">
        <f>IFERROR(VLOOKUP($N130,【管理用】BR_260204!$B$3:$D$20,3,FALSE)*Z130,"-")</f>
        <v>-</v>
      </c>
      <c r="AM130" s="13">
        <f t="shared" si="25"/>
        <v>0</v>
      </c>
      <c r="AN130" s="37" t="s">
        <v>355</v>
      </c>
      <c r="AP130" s="91"/>
    </row>
    <row r="131" spans="2:42">
      <c r="B131" s="45">
        <f t="shared" si="23"/>
        <v>127</v>
      </c>
      <c r="C131" s="43"/>
      <c r="D131" s="12" t="str">
        <f>IFERROR(VLOOKUP($C131,'【入力用②】案件ごと売上（D案件以上）'!$B$4:$Y$1048576,2,FALSE),"-")</f>
        <v>-</v>
      </c>
      <c r="E131" s="12" t="str">
        <f>IFERROR(VLOOKUP($C131,'【入力用②】案件ごと売上（D案件以上）'!$B$4:$Y$1048576,3,FALSE),"-")</f>
        <v>-</v>
      </c>
      <c r="F131" s="12" t="str">
        <f>IFERROR(VLOOKUP($C131,'【入力用②】案件ごと売上（D案件以上）'!$B$4:$Y$1048576,4,FALSE),"-")</f>
        <v>-</v>
      </c>
      <c r="G131" s="12" t="str">
        <f>IFERROR(VLOOKUP($C131,'【入力用②】案件ごと売上（D案件以上）'!$B$4:$Y$1048576,5,FALSE),"-")</f>
        <v>-</v>
      </c>
      <c r="H131" s="12" t="str">
        <f>IFERROR(VLOOKUP($C131,'【入力用②】案件ごと売上（D案件以上）'!$B$4:$Y$1048576,6,FALSE),"-")</f>
        <v>-</v>
      </c>
      <c r="I131" s="13" t="str">
        <f>IFERROR(VLOOKUP($C131,'【入力用②】案件ごと売上（D案件以上）'!$B$4:$Y$1048576,8,FALSE),"-")</f>
        <v>-</v>
      </c>
      <c r="J131" s="13">
        <f t="shared" si="22"/>
        <v>0</v>
      </c>
      <c r="K131" s="57" t="str">
        <f t="shared" si="19"/>
        <v>-</v>
      </c>
      <c r="L131" s="13" t="str">
        <f>IFERROR(VLOOKUP($C131,'【入力用②】案件ごと売上（D案件以上）'!$B$4:$Y$1048576,11,FALSE),"-")</f>
        <v>-</v>
      </c>
      <c r="M131" s="13" t="str">
        <f t="shared" si="24"/>
        <v>-</v>
      </c>
      <c r="N131" s="43"/>
      <c r="O131" s="54"/>
      <c r="P131" s="54"/>
      <c r="Q131" s="54"/>
      <c r="R131" s="54"/>
      <c r="S131" s="54"/>
      <c r="T131" s="54"/>
      <c r="U131" s="54"/>
      <c r="V131" s="54"/>
      <c r="W131" s="54"/>
      <c r="X131" s="54"/>
      <c r="Y131" s="54"/>
      <c r="Z131" s="54"/>
      <c r="AA131" s="13" t="str">
        <f>IFERROR(VLOOKUP($N131,【管理用】BR_260204!$B$3:$D$20,3,FALSE)*O131,"-")</f>
        <v>-</v>
      </c>
      <c r="AB131" s="13" t="str">
        <f>IFERROR(VLOOKUP($N131,【管理用】BR_260204!$B$3:$D$20,3,FALSE)*P131,"-")</f>
        <v>-</v>
      </c>
      <c r="AC131" s="13" t="str">
        <f>IFERROR(VLOOKUP($N131,【管理用】BR_260204!$B$3:$D$20,3,FALSE)*Q131,"-")</f>
        <v>-</v>
      </c>
      <c r="AD131" s="13" t="str">
        <f>IFERROR(VLOOKUP($N131,【管理用】BR_260204!$B$3:$D$20,3,FALSE)*R131,"-")</f>
        <v>-</v>
      </c>
      <c r="AE131" s="13" t="str">
        <f>IFERROR(VLOOKUP($N131,【管理用】BR_260204!$B$3:$D$20,3,FALSE)*S131,"-")</f>
        <v>-</v>
      </c>
      <c r="AF131" s="13" t="str">
        <f>IFERROR(VLOOKUP($N131,【管理用】BR_260204!$B$3:$D$20,3,FALSE)*T131,"-")</f>
        <v>-</v>
      </c>
      <c r="AG131" s="13" t="str">
        <f>IFERROR(VLOOKUP($N131,【管理用】BR_260204!$B$3:$D$20,3,FALSE)*U131,"-")</f>
        <v>-</v>
      </c>
      <c r="AH131" s="13" t="str">
        <f>IFERROR(VLOOKUP($N131,【管理用】BR_260204!$B$3:$D$20,3,FALSE)*V131,"-")</f>
        <v>-</v>
      </c>
      <c r="AI131" s="13" t="str">
        <f>IFERROR(VLOOKUP($N131,【管理用】BR_260204!$B$3:$D$20,3,FALSE)*W131,"-")</f>
        <v>-</v>
      </c>
      <c r="AJ131" s="13" t="str">
        <f>IFERROR(VLOOKUP($N131,【管理用】BR_260204!$B$3:$D$20,3,FALSE)*X131,"-")</f>
        <v>-</v>
      </c>
      <c r="AK131" s="13" t="str">
        <f>IFERROR(VLOOKUP($N131,【管理用】BR_260204!$B$3:$D$20,3,FALSE)*Y131,"-")</f>
        <v>-</v>
      </c>
      <c r="AL131" s="13" t="str">
        <f>IFERROR(VLOOKUP($N131,【管理用】BR_260204!$B$3:$D$20,3,FALSE)*Z131,"-")</f>
        <v>-</v>
      </c>
      <c r="AM131" s="13">
        <f t="shared" si="25"/>
        <v>0</v>
      </c>
      <c r="AN131" s="37" t="s">
        <v>355</v>
      </c>
      <c r="AP131" s="91"/>
    </row>
    <row r="132" spans="2:42">
      <c r="B132" s="45">
        <f t="shared" si="23"/>
        <v>128</v>
      </c>
      <c r="C132" s="43"/>
      <c r="D132" s="12" t="str">
        <f>IFERROR(VLOOKUP($C132,'【入力用②】案件ごと売上（D案件以上）'!$B$4:$Y$1048576,2,FALSE),"-")</f>
        <v>-</v>
      </c>
      <c r="E132" s="12" t="str">
        <f>IFERROR(VLOOKUP($C132,'【入力用②】案件ごと売上（D案件以上）'!$B$4:$Y$1048576,3,FALSE),"-")</f>
        <v>-</v>
      </c>
      <c r="F132" s="12" t="str">
        <f>IFERROR(VLOOKUP($C132,'【入力用②】案件ごと売上（D案件以上）'!$B$4:$Y$1048576,4,FALSE),"-")</f>
        <v>-</v>
      </c>
      <c r="G132" s="12" t="str">
        <f>IFERROR(VLOOKUP($C132,'【入力用②】案件ごと売上（D案件以上）'!$B$4:$Y$1048576,5,FALSE),"-")</f>
        <v>-</v>
      </c>
      <c r="H132" s="12" t="str">
        <f>IFERROR(VLOOKUP($C132,'【入力用②】案件ごと売上（D案件以上）'!$B$4:$Y$1048576,6,FALSE),"-")</f>
        <v>-</v>
      </c>
      <c r="I132" s="13" t="str">
        <f>IFERROR(VLOOKUP($C132,'【入力用②】案件ごと売上（D案件以上）'!$B$4:$Y$1048576,8,FALSE),"-")</f>
        <v>-</v>
      </c>
      <c r="J132" s="13">
        <f t="shared" si="22"/>
        <v>0</v>
      </c>
      <c r="K132" s="57" t="str">
        <f t="shared" si="19"/>
        <v>-</v>
      </c>
      <c r="L132" s="13" t="str">
        <f>IFERROR(VLOOKUP($C132,'【入力用②】案件ごと売上（D案件以上）'!$B$4:$Y$1048576,11,FALSE),"-")</f>
        <v>-</v>
      </c>
      <c r="M132" s="13" t="str">
        <f t="shared" si="24"/>
        <v>-</v>
      </c>
      <c r="N132" s="43"/>
      <c r="O132" s="54"/>
      <c r="P132" s="54"/>
      <c r="Q132" s="54"/>
      <c r="R132" s="54"/>
      <c r="S132" s="54"/>
      <c r="T132" s="54"/>
      <c r="U132" s="54"/>
      <c r="V132" s="54"/>
      <c r="W132" s="54"/>
      <c r="X132" s="54"/>
      <c r="Y132" s="54"/>
      <c r="Z132" s="54"/>
      <c r="AA132" s="13" t="str">
        <f>IFERROR(VLOOKUP($N132,【管理用】BR_260204!$B$3:$D$20,3,FALSE)*O132,"-")</f>
        <v>-</v>
      </c>
      <c r="AB132" s="13" t="str">
        <f>IFERROR(VLOOKUP($N132,【管理用】BR_260204!$B$3:$D$20,3,FALSE)*P132,"-")</f>
        <v>-</v>
      </c>
      <c r="AC132" s="13" t="str">
        <f>IFERROR(VLOOKUP($N132,【管理用】BR_260204!$B$3:$D$20,3,FALSE)*Q132,"-")</f>
        <v>-</v>
      </c>
      <c r="AD132" s="13" t="str">
        <f>IFERROR(VLOOKUP($N132,【管理用】BR_260204!$B$3:$D$20,3,FALSE)*R132,"-")</f>
        <v>-</v>
      </c>
      <c r="AE132" s="13" t="str">
        <f>IFERROR(VLOOKUP($N132,【管理用】BR_260204!$B$3:$D$20,3,FALSE)*S132,"-")</f>
        <v>-</v>
      </c>
      <c r="AF132" s="13" t="str">
        <f>IFERROR(VLOOKUP($N132,【管理用】BR_260204!$B$3:$D$20,3,FALSE)*T132,"-")</f>
        <v>-</v>
      </c>
      <c r="AG132" s="13" t="str">
        <f>IFERROR(VLOOKUP($N132,【管理用】BR_260204!$B$3:$D$20,3,FALSE)*U132,"-")</f>
        <v>-</v>
      </c>
      <c r="AH132" s="13" t="str">
        <f>IFERROR(VLOOKUP($N132,【管理用】BR_260204!$B$3:$D$20,3,FALSE)*V132,"-")</f>
        <v>-</v>
      </c>
      <c r="AI132" s="13" t="str">
        <f>IFERROR(VLOOKUP($N132,【管理用】BR_260204!$B$3:$D$20,3,FALSE)*W132,"-")</f>
        <v>-</v>
      </c>
      <c r="AJ132" s="13" t="str">
        <f>IFERROR(VLOOKUP($N132,【管理用】BR_260204!$B$3:$D$20,3,FALSE)*X132,"-")</f>
        <v>-</v>
      </c>
      <c r="AK132" s="13" t="str">
        <f>IFERROR(VLOOKUP($N132,【管理用】BR_260204!$B$3:$D$20,3,FALSE)*Y132,"-")</f>
        <v>-</v>
      </c>
      <c r="AL132" s="13" t="str">
        <f>IFERROR(VLOOKUP($N132,【管理用】BR_260204!$B$3:$D$20,3,FALSE)*Z132,"-")</f>
        <v>-</v>
      </c>
      <c r="AM132" s="13">
        <f t="shared" si="25"/>
        <v>0</v>
      </c>
      <c r="AN132" s="37" t="s">
        <v>355</v>
      </c>
      <c r="AP132" s="91"/>
    </row>
    <row r="133" spans="2:42">
      <c r="B133" s="45">
        <f t="shared" si="23"/>
        <v>129</v>
      </c>
      <c r="C133" s="43"/>
      <c r="D133" s="12" t="str">
        <f>IFERROR(VLOOKUP($C133,'【入力用②】案件ごと売上（D案件以上）'!$B$4:$Y$1048576,2,FALSE),"-")</f>
        <v>-</v>
      </c>
      <c r="E133" s="12" t="str">
        <f>IFERROR(VLOOKUP($C133,'【入力用②】案件ごと売上（D案件以上）'!$B$4:$Y$1048576,3,FALSE),"-")</f>
        <v>-</v>
      </c>
      <c r="F133" s="12" t="str">
        <f>IFERROR(VLOOKUP($C133,'【入力用②】案件ごと売上（D案件以上）'!$B$4:$Y$1048576,4,FALSE),"-")</f>
        <v>-</v>
      </c>
      <c r="G133" s="12" t="str">
        <f>IFERROR(VLOOKUP($C133,'【入力用②】案件ごと売上（D案件以上）'!$B$4:$Y$1048576,5,FALSE),"-")</f>
        <v>-</v>
      </c>
      <c r="H133" s="12" t="str">
        <f>IFERROR(VLOOKUP($C133,'【入力用②】案件ごと売上（D案件以上）'!$B$4:$Y$1048576,6,FALSE),"-")</f>
        <v>-</v>
      </c>
      <c r="I133" s="13" t="str">
        <f>IFERROR(VLOOKUP($C133,'【入力用②】案件ごと売上（D案件以上）'!$B$4:$Y$1048576,8,FALSE),"-")</f>
        <v>-</v>
      </c>
      <c r="J133" s="13">
        <f t="shared" si="22"/>
        <v>0</v>
      </c>
      <c r="K133" s="57" t="str">
        <f t="shared" si="19"/>
        <v>-</v>
      </c>
      <c r="L133" s="13" t="str">
        <f>IFERROR(VLOOKUP($C133,'【入力用②】案件ごと売上（D案件以上）'!$B$4:$Y$1048576,11,FALSE),"-")</f>
        <v>-</v>
      </c>
      <c r="M133" s="13" t="str">
        <f t="shared" si="24"/>
        <v>-</v>
      </c>
      <c r="N133" s="43"/>
      <c r="O133" s="54"/>
      <c r="P133" s="54"/>
      <c r="Q133" s="54"/>
      <c r="R133" s="54"/>
      <c r="S133" s="54"/>
      <c r="T133" s="54"/>
      <c r="U133" s="54"/>
      <c r="V133" s="54"/>
      <c r="W133" s="54"/>
      <c r="X133" s="54"/>
      <c r="Y133" s="54"/>
      <c r="Z133" s="54"/>
      <c r="AA133" s="13" t="str">
        <f>IFERROR(VLOOKUP($N133,【管理用】BR_260204!$B$3:$D$20,3,FALSE)*O133,"-")</f>
        <v>-</v>
      </c>
      <c r="AB133" s="13" t="str">
        <f>IFERROR(VLOOKUP($N133,【管理用】BR_260204!$B$3:$D$20,3,FALSE)*P133,"-")</f>
        <v>-</v>
      </c>
      <c r="AC133" s="13" t="str">
        <f>IFERROR(VLOOKUP($N133,【管理用】BR_260204!$B$3:$D$20,3,FALSE)*Q133,"-")</f>
        <v>-</v>
      </c>
      <c r="AD133" s="13" t="str">
        <f>IFERROR(VLOOKUP($N133,【管理用】BR_260204!$B$3:$D$20,3,FALSE)*R133,"-")</f>
        <v>-</v>
      </c>
      <c r="AE133" s="13" t="str">
        <f>IFERROR(VLOOKUP($N133,【管理用】BR_260204!$B$3:$D$20,3,FALSE)*S133,"-")</f>
        <v>-</v>
      </c>
      <c r="AF133" s="13" t="str">
        <f>IFERROR(VLOOKUP($N133,【管理用】BR_260204!$B$3:$D$20,3,FALSE)*T133,"-")</f>
        <v>-</v>
      </c>
      <c r="AG133" s="13" t="str">
        <f>IFERROR(VLOOKUP($N133,【管理用】BR_260204!$B$3:$D$20,3,FALSE)*U133,"-")</f>
        <v>-</v>
      </c>
      <c r="AH133" s="13" t="str">
        <f>IFERROR(VLOOKUP($N133,【管理用】BR_260204!$B$3:$D$20,3,FALSE)*V133,"-")</f>
        <v>-</v>
      </c>
      <c r="AI133" s="13" t="str">
        <f>IFERROR(VLOOKUP($N133,【管理用】BR_260204!$B$3:$D$20,3,FALSE)*W133,"-")</f>
        <v>-</v>
      </c>
      <c r="AJ133" s="13" t="str">
        <f>IFERROR(VLOOKUP($N133,【管理用】BR_260204!$B$3:$D$20,3,FALSE)*X133,"-")</f>
        <v>-</v>
      </c>
      <c r="AK133" s="13" t="str">
        <f>IFERROR(VLOOKUP($N133,【管理用】BR_260204!$B$3:$D$20,3,FALSE)*Y133,"-")</f>
        <v>-</v>
      </c>
      <c r="AL133" s="13" t="str">
        <f>IFERROR(VLOOKUP($N133,【管理用】BR_260204!$B$3:$D$20,3,FALSE)*Z133,"-")</f>
        <v>-</v>
      </c>
      <c r="AM133" s="13">
        <f t="shared" si="25"/>
        <v>0</v>
      </c>
      <c r="AN133" s="37" t="s">
        <v>355</v>
      </c>
      <c r="AP133" s="91"/>
    </row>
    <row r="134" spans="2:42">
      <c r="B134" s="45">
        <f t="shared" si="23"/>
        <v>130</v>
      </c>
      <c r="C134" s="43"/>
      <c r="D134" s="12" t="str">
        <f>IFERROR(VLOOKUP($C134,'【入力用②】案件ごと売上（D案件以上）'!$B$4:$Y$1048576,2,FALSE),"-")</f>
        <v>-</v>
      </c>
      <c r="E134" s="12" t="str">
        <f>IFERROR(VLOOKUP($C134,'【入力用②】案件ごと売上（D案件以上）'!$B$4:$Y$1048576,3,FALSE),"-")</f>
        <v>-</v>
      </c>
      <c r="F134" s="12" t="str">
        <f>IFERROR(VLOOKUP($C134,'【入力用②】案件ごと売上（D案件以上）'!$B$4:$Y$1048576,4,FALSE),"-")</f>
        <v>-</v>
      </c>
      <c r="G134" s="12" t="str">
        <f>IFERROR(VLOOKUP($C134,'【入力用②】案件ごと売上（D案件以上）'!$B$4:$Y$1048576,5,FALSE),"-")</f>
        <v>-</v>
      </c>
      <c r="H134" s="12" t="str">
        <f>IFERROR(VLOOKUP($C134,'【入力用②】案件ごと売上（D案件以上）'!$B$4:$Y$1048576,6,FALSE),"-")</f>
        <v>-</v>
      </c>
      <c r="I134" s="13" t="str">
        <f>IFERROR(VLOOKUP($C134,'【入力用②】案件ごと売上（D案件以上）'!$B$4:$Y$1048576,8,FALSE),"-")</f>
        <v>-</v>
      </c>
      <c r="J134" s="13">
        <f t="shared" si="22"/>
        <v>0</v>
      </c>
      <c r="K134" s="57" t="str">
        <f t="shared" si="19"/>
        <v>-</v>
      </c>
      <c r="L134" s="13" t="str">
        <f>IFERROR(VLOOKUP($C134,'【入力用②】案件ごと売上（D案件以上）'!$B$4:$Y$1048576,11,FALSE),"-")</f>
        <v>-</v>
      </c>
      <c r="M134" s="13" t="str">
        <f t="shared" si="24"/>
        <v>-</v>
      </c>
      <c r="N134" s="43"/>
      <c r="O134" s="54"/>
      <c r="P134" s="54"/>
      <c r="Q134" s="54"/>
      <c r="R134" s="54"/>
      <c r="S134" s="54"/>
      <c r="T134" s="54"/>
      <c r="U134" s="54"/>
      <c r="V134" s="54"/>
      <c r="W134" s="54"/>
      <c r="X134" s="54"/>
      <c r="Y134" s="54"/>
      <c r="Z134" s="54"/>
      <c r="AA134" s="13" t="str">
        <f>IFERROR(VLOOKUP($N134,【管理用】BR_260204!$B$3:$D$20,3,FALSE)*O134,"-")</f>
        <v>-</v>
      </c>
      <c r="AB134" s="13" t="str">
        <f>IFERROR(VLOOKUP($N134,【管理用】BR_260204!$B$3:$D$20,3,FALSE)*P134,"-")</f>
        <v>-</v>
      </c>
      <c r="AC134" s="13" t="str">
        <f>IFERROR(VLOOKUP($N134,【管理用】BR_260204!$B$3:$D$20,3,FALSE)*Q134,"-")</f>
        <v>-</v>
      </c>
      <c r="AD134" s="13" t="str">
        <f>IFERROR(VLOOKUP($N134,【管理用】BR_260204!$B$3:$D$20,3,FALSE)*R134,"-")</f>
        <v>-</v>
      </c>
      <c r="AE134" s="13" t="str">
        <f>IFERROR(VLOOKUP($N134,【管理用】BR_260204!$B$3:$D$20,3,FALSE)*S134,"-")</f>
        <v>-</v>
      </c>
      <c r="AF134" s="13" t="str">
        <f>IFERROR(VLOOKUP($N134,【管理用】BR_260204!$B$3:$D$20,3,FALSE)*T134,"-")</f>
        <v>-</v>
      </c>
      <c r="AG134" s="13" t="str">
        <f>IFERROR(VLOOKUP($N134,【管理用】BR_260204!$B$3:$D$20,3,FALSE)*U134,"-")</f>
        <v>-</v>
      </c>
      <c r="AH134" s="13" t="str">
        <f>IFERROR(VLOOKUP($N134,【管理用】BR_260204!$B$3:$D$20,3,FALSE)*V134,"-")</f>
        <v>-</v>
      </c>
      <c r="AI134" s="13" t="str">
        <f>IFERROR(VLOOKUP($N134,【管理用】BR_260204!$B$3:$D$20,3,FALSE)*W134,"-")</f>
        <v>-</v>
      </c>
      <c r="AJ134" s="13" t="str">
        <f>IFERROR(VLOOKUP($N134,【管理用】BR_260204!$B$3:$D$20,3,FALSE)*X134,"-")</f>
        <v>-</v>
      </c>
      <c r="AK134" s="13" t="str">
        <f>IFERROR(VLOOKUP($N134,【管理用】BR_260204!$B$3:$D$20,3,FALSE)*Y134,"-")</f>
        <v>-</v>
      </c>
      <c r="AL134" s="13" t="str">
        <f>IFERROR(VLOOKUP($N134,【管理用】BR_260204!$B$3:$D$20,3,FALSE)*Z134,"-")</f>
        <v>-</v>
      </c>
      <c r="AM134" s="13">
        <f t="shared" si="25"/>
        <v>0</v>
      </c>
      <c r="AN134" s="37" t="s">
        <v>355</v>
      </c>
      <c r="AP134" s="91"/>
    </row>
    <row r="135" spans="2:42">
      <c r="B135" s="45">
        <f t="shared" si="23"/>
        <v>131</v>
      </c>
      <c r="C135" s="43"/>
      <c r="D135" s="12" t="str">
        <f>IFERROR(VLOOKUP($C135,'【入力用②】案件ごと売上（D案件以上）'!$B$4:$Y$1048576,2,FALSE),"-")</f>
        <v>-</v>
      </c>
      <c r="E135" s="12" t="str">
        <f>IFERROR(VLOOKUP($C135,'【入力用②】案件ごと売上（D案件以上）'!$B$4:$Y$1048576,3,FALSE),"-")</f>
        <v>-</v>
      </c>
      <c r="F135" s="12" t="str">
        <f>IFERROR(VLOOKUP($C135,'【入力用②】案件ごと売上（D案件以上）'!$B$4:$Y$1048576,4,FALSE),"-")</f>
        <v>-</v>
      </c>
      <c r="G135" s="12" t="str">
        <f>IFERROR(VLOOKUP($C135,'【入力用②】案件ごと売上（D案件以上）'!$B$4:$Y$1048576,5,FALSE),"-")</f>
        <v>-</v>
      </c>
      <c r="H135" s="12" t="str">
        <f>IFERROR(VLOOKUP($C135,'【入力用②】案件ごと売上（D案件以上）'!$B$4:$Y$1048576,6,FALSE),"-")</f>
        <v>-</v>
      </c>
      <c r="I135" s="13" t="str">
        <f>IFERROR(VLOOKUP($C135,'【入力用②】案件ごと売上（D案件以上）'!$B$4:$Y$1048576,8,FALSE),"-")</f>
        <v>-</v>
      </c>
      <c r="J135" s="13">
        <f t="shared" si="22"/>
        <v>0</v>
      </c>
      <c r="K135" s="57" t="str">
        <f t="shared" si="19"/>
        <v>-</v>
      </c>
      <c r="L135" s="13" t="str">
        <f>IFERROR(VLOOKUP($C135,'【入力用②】案件ごと売上（D案件以上）'!$B$4:$Y$1048576,11,FALSE),"-")</f>
        <v>-</v>
      </c>
      <c r="M135" s="13" t="str">
        <f t="shared" si="24"/>
        <v>-</v>
      </c>
      <c r="N135" s="43"/>
      <c r="O135" s="54"/>
      <c r="P135" s="54"/>
      <c r="Q135" s="54"/>
      <c r="R135" s="54"/>
      <c r="S135" s="54"/>
      <c r="T135" s="54"/>
      <c r="U135" s="54"/>
      <c r="V135" s="54"/>
      <c r="W135" s="54"/>
      <c r="X135" s="54"/>
      <c r="Y135" s="54"/>
      <c r="Z135" s="54"/>
      <c r="AA135" s="13" t="str">
        <f>IFERROR(VLOOKUP($N135,【管理用】BR_260204!$B$3:$D$20,3,FALSE)*O135,"-")</f>
        <v>-</v>
      </c>
      <c r="AB135" s="13" t="str">
        <f>IFERROR(VLOOKUP($N135,【管理用】BR_260204!$B$3:$D$20,3,FALSE)*P135,"-")</f>
        <v>-</v>
      </c>
      <c r="AC135" s="13" t="str">
        <f>IFERROR(VLOOKUP($N135,【管理用】BR_260204!$B$3:$D$20,3,FALSE)*Q135,"-")</f>
        <v>-</v>
      </c>
      <c r="AD135" s="13" t="str">
        <f>IFERROR(VLOOKUP($N135,【管理用】BR_260204!$B$3:$D$20,3,FALSE)*R135,"-")</f>
        <v>-</v>
      </c>
      <c r="AE135" s="13" t="str">
        <f>IFERROR(VLOOKUP($N135,【管理用】BR_260204!$B$3:$D$20,3,FALSE)*S135,"-")</f>
        <v>-</v>
      </c>
      <c r="AF135" s="13" t="str">
        <f>IFERROR(VLOOKUP($N135,【管理用】BR_260204!$B$3:$D$20,3,FALSE)*T135,"-")</f>
        <v>-</v>
      </c>
      <c r="AG135" s="13" t="str">
        <f>IFERROR(VLOOKUP($N135,【管理用】BR_260204!$B$3:$D$20,3,FALSE)*U135,"-")</f>
        <v>-</v>
      </c>
      <c r="AH135" s="13" t="str">
        <f>IFERROR(VLOOKUP($N135,【管理用】BR_260204!$B$3:$D$20,3,FALSE)*V135,"-")</f>
        <v>-</v>
      </c>
      <c r="AI135" s="13" t="str">
        <f>IFERROR(VLOOKUP($N135,【管理用】BR_260204!$B$3:$D$20,3,FALSE)*W135,"-")</f>
        <v>-</v>
      </c>
      <c r="AJ135" s="13" t="str">
        <f>IFERROR(VLOOKUP($N135,【管理用】BR_260204!$B$3:$D$20,3,FALSE)*X135,"-")</f>
        <v>-</v>
      </c>
      <c r="AK135" s="13" t="str">
        <f>IFERROR(VLOOKUP($N135,【管理用】BR_260204!$B$3:$D$20,3,FALSE)*Y135,"-")</f>
        <v>-</v>
      </c>
      <c r="AL135" s="13" t="str">
        <f>IFERROR(VLOOKUP($N135,【管理用】BR_260204!$B$3:$D$20,3,FALSE)*Z135,"-")</f>
        <v>-</v>
      </c>
      <c r="AM135" s="13">
        <f t="shared" si="25"/>
        <v>0</v>
      </c>
      <c r="AN135" s="37" t="s">
        <v>355</v>
      </c>
      <c r="AP135" s="91"/>
    </row>
    <row r="136" spans="2:42">
      <c r="B136" s="45">
        <f t="shared" si="23"/>
        <v>132</v>
      </c>
      <c r="C136" s="43"/>
      <c r="D136" s="12" t="str">
        <f>IFERROR(VLOOKUP($C136,'【入力用②】案件ごと売上（D案件以上）'!$B$4:$Y$1048576,2,FALSE),"-")</f>
        <v>-</v>
      </c>
      <c r="E136" s="12" t="str">
        <f>IFERROR(VLOOKUP($C136,'【入力用②】案件ごと売上（D案件以上）'!$B$4:$Y$1048576,3,FALSE),"-")</f>
        <v>-</v>
      </c>
      <c r="F136" s="12" t="str">
        <f>IFERROR(VLOOKUP($C136,'【入力用②】案件ごと売上（D案件以上）'!$B$4:$Y$1048576,4,FALSE),"-")</f>
        <v>-</v>
      </c>
      <c r="G136" s="12" t="str">
        <f>IFERROR(VLOOKUP($C136,'【入力用②】案件ごと売上（D案件以上）'!$B$4:$Y$1048576,5,FALSE),"-")</f>
        <v>-</v>
      </c>
      <c r="H136" s="12" t="str">
        <f>IFERROR(VLOOKUP($C136,'【入力用②】案件ごと売上（D案件以上）'!$B$4:$Y$1048576,6,FALSE),"-")</f>
        <v>-</v>
      </c>
      <c r="I136" s="13" t="str">
        <f>IFERROR(VLOOKUP($C136,'【入力用②】案件ごと売上（D案件以上）'!$B$4:$Y$1048576,8,FALSE),"-")</f>
        <v>-</v>
      </c>
      <c r="J136" s="13">
        <f t="shared" si="22"/>
        <v>0</v>
      </c>
      <c r="K136" s="57" t="str">
        <f t="shared" si="19"/>
        <v>-</v>
      </c>
      <c r="L136" s="13" t="str">
        <f>IFERROR(VLOOKUP($C136,'【入力用②】案件ごと売上（D案件以上）'!$B$4:$Y$1048576,11,FALSE),"-")</f>
        <v>-</v>
      </c>
      <c r="M136" s="13" t="str">
        <f t="shared" si="24"/>
        <v>-</v>
      </c>
      <c r="N136" s="43"/>
      <c r="O136" s="54"/>
      <c r="P136" s="54"/>
      <c r="Q136" s="54"/>
      <c r="R136" s="54"/>
      <c r="S136" s="54"/>
      <c r="T136" s="54"/>
      <c r="U136" s="54"/>
      <c r="V136" s="54"/>
      <c r="W136" s="54"/>
      <c r="X136" s="54"/>
      <c r="Y136" s="54"/>
      <c r="Z136" s="54"/>
      <c r="AA136" s="13" t="str">
        <f>IFERROR(VLOOKUP($N136,【管理用】BR_260204!$B$3:$D$20,3,FALSE)*O136,"-")</f>
        <v>-</v>
      </c>
      <c r="AB136" s="13" t="str">
        <f>IFERROR(VLOOKUP($N136,【管理用】BR_260204!$B$3:$D$20,3,FALSE)*P136,"-")</f>
        <v>-</v>
      </c>
      <c r="AC136" s="13" t="str">
        <f>IFERROR(VLOOKUP($N136,【管理用】BR_260204!$B$3:$D$20,3,FALSE)*Q136,"-")</f>
        <v>-</v>
      </c>
      <c r="AD136" s="13" t="str">
        <f>IFERROR(VLOOKUP($N136,【管理用】BR_260204!$B$3:$D$20,3,FALSE)*R136,"-")</f>
        <v>-</v>
      </c>
      <c r="AE136" s="13" t="str">
        <f>IFERROR(VLOOKUP($N136,【管理用】BR_260204!$B$3:$D$20,3,FALSE)*S136,"-")</f>
        <v>-</v>
      </c>
      <c r="AF136" s="13" t="str">
        <f>IFERROR(VLOOKUP($N136,【管理用】BR_260204!$B$3:$D$20,3,FALSE)*T136,"-")</f>
        <v>-</v>
      </c>
      <c r="AG136" s="13" t="str">
        <f>IFERROR(VLOOKUP($N136,【管理用】BR_260204!$B$3:$D$20,3,FALSE)*U136,"-")</f>
        <v>-</v>
      </c>
      <c r="AH136" s="13" t="str">
        <f>IFERROR(VLOOKUP($N136,【管理用】BR_260204!$B$3:$D$20,3,FALSE)*V136,"-")</f>
        <v>-</v>
      </c>
      <c r="AI136" s="13" t="str">
        <f>IFERROR(VLOOKUP($N136,【管理用】BR_260204!$B$3:$D$20,3,FALSE)*W136,"-")</f>
        <v>-</v>
      </c>
      <c r="AJ136" s="13" t="str">
        <f>IFERROR(VLOOKUP($N136,【管理用】BR_260204!$B$3:$D$20,3,FALSE)*X136,"-")</f>
        <v>-</v>
      </c>
      <c r="AK136" s="13" t="str">
        <f>IFERROR(VLOOKUP($N136,【管理用】BR_260204!$B$3:$D$20,3,FALSE)*Y136,"-")</f>
        <v>-</v>
      </c>
      <c r="AL136" s="13" t="str">
        <f>IFERROR(VLOOKUP($N136,【管理用】BR_260204!$B$3:$D$20,3,FALSE)*Z136,"-")</f>
        <v>-</v>
      </c>
      <c r="AM136" s="13">
        <f t="shared" si="25"/>
        <v>0</v>
      </c>
      <c r="AN136" s="37" t="s">
        <v>355</v>
      </c>
      <c r="AP136" s="91"/>
    </row>
    <row r="137" spans="2:42">
      <c r="B137" s="45">
        <f t="shared" si="23"/>
        <v>133</v>
      </c>
      <c r="C137" s="43"/>
      <c r="D137" s="12" t="str">
        <f>IFERROR(VLOOKUP($C137,'【入力用②】案件ごと売上（D案件以上）'!$B$4:$Y$1048576,2,FALSE),"-")</f>
        <v>-</v>
      </c>
      <c r="E137" s="12" t="str">
        <f>IFERROR(VLOOKUP($C137,'【入力用②】案件ごと売上（D案件以上）'!$B$4:$Y$1048576,3,FALSE),"-")</f>
        <v>-</v>
      </c>
      <c r="F137" s="12" t="str">
        <f>IFERROR(VLOOKUP($C137,'【入力用②】案件ごと売上（D案件以上）'!$B$4:$Y$1048576,4,FALSE),"-")</f>
        <v>-</v>
      </c>
      <c r="G137" s="12" t="str">
        <f>IFERROR(VLOOKUP($C137,'【入力用②】案件ごと売上（D案件以上）'!$B$4:$Y$1048576,5,FALSE),"-")</f>
        <v>-</v>
      </c>
      <c r="H137" s="12" t="str">
        <f>IFERROR(VLOOKUP($C137,'【入力用②】案件ごと売上（D案件以上）'!$B$4:$Y$1048576,6,FALSE),"-")</f>
        <v>-</v>
      </c>
      <c r="I137" s="13" t="str">
        <f>IFERROR(VLOOKUP($C137,'【入力用②】案件ごと売上（D案件以上）'!$B$4:$Y$1048576,8,FALSE),"-")</f>
        <v>-</v>
      </c>
      <c r="J137" s="13">
        <f t="shared" si="22"/>
        <v>0</v>
      </c>
      <c r="K137" s="57" t="str">
        <f t="shared" si="19"/>
        <v>-</v>
      </c>
      <c r="L137" s="13" t="str">
        <f>IFERROR(VLOOKUP($C137,'【入力用②】案件ごと売上（D案件以上）'!$B$4:$Y$1048576,11,FALSE),"-")</f>
        <v>-</v>
      </c>
      <c r="M137" s="13" t="str">
        <f t="shared" si="24"/>
        <v>-</v>
      </c>
      <c r="N137" s="43"/>
      <c r="O137" s="54"/>
      <c r="P137" s="54"/>
      <c r="Q137" s="54"/>
      <c r="R137" s="54"/>
      <c r="S137" s="54"/>
      <c r="T137" s="54"/>
      <c r="U137" s="54"/>
      <c r="V137" s="54"/>
      <c r="W137" s="54"/>
      <c r="X137" s="54"/>
      <c r="Y137" s="54"/>
      <c r="Z137" s="54"/>
      <c r="AA137" s="13" t="str">
        <f>IFERROR(VLOOKUP($N137,【管理用】BR_260204!$B$3:$D$20,3,FALSE)*O137,"-")</f>
        <v>-</v>
      </c>
      <c r="AB137" s="13" t="str">
        <f>IFERROR(VLOOKUP($N137,【管理用】BR_260204!$B$3:$D$20,3,FALSE)*P137,"-")</f>
        <v>-</v>
      </c>
      <c r="AC137" s="13" t="str">
        <f>IFERROR(VLOOKUP($N137,【管理用】BR_260204!$B$3:$D$20,3,FALSE)*Q137,"-")</f>
        <v>-</v>
      </c>
      <c r="AD137" s="13" t="str">
        <f>IFERROR(VLOOKUP($N137,【管理用】BR_260204!$B$3:$D$20,3,FALSE)*R137,"-")</f>
        <v>-</v>
      </c>
      <c r="AE137" s="13" t="str">
        <f>IFERROR(VLOOKUP($N137,【管理用】BR_260204!$B$3:$D$20,3,FALSE)*S137,"-")</f>
        <v>-</v>
      </c>
      <c r="AF137" s="13" t="str">
        <f>IFERROR(VLOOKUP($N137,【管理用】BR_260204!$B$3:$D$20,3,FALSE)*T137,"-")</f>
        <v>-</v>
      </c>
      <c r="AG137" s="13" t="str">
        <f>IFERROR(VLOOKUP($N137,【管理用】BR_260204!$B$3:$D$20,3,FALSE)*U137,"-")</f>
        <v>-</v>
      </c>
      <c r="AH137" s="13" t="str">
        <f>IFERROR(VLOOKUP($N137,【管理用】BR_260204!$B$3:$D$20,3,FALSE)*V137,"-")</f>
        <v>-</v>
      </c>
      <c r="AI137" s="13" t="str">
        <f>IFERROR(VLOOKUP($N137,【管理用】BR_260204!$B$3:$D$20,3,FALSE)*W137,"-")</f>
        <v>-</v>
      </c>
      <c r="AJ137" s="13" t="str">
        <f>IFERROR(VLOOKUP($N137,【管理用】BR_260204!$B$3:$D$20,3,FALSE)*X137,"-")</f>
        <v>-</v>
      </c>
      <c r="AK137" s="13" t="str">
        <f>IFERROR(VLOOKUP($N137,【管理用】BR_260204!$B$3:$D$20,3,FALSE)*Y137,"-")</f>
        <v>-</v>
      </c>
      <c r="AL137" s="13" t="str">
        <f>IFERROR(VLOOKUP($N137,【管理用】BR_260204!$B$3:$D$20,3,FALSE)*Z137,"-")</f>
        <v>-</v>
      </c>
      <c r="AM137" s="13">
        <f t="shared" si="25"/>
        <v>0</v>
      </c>
      <c r="AN137" s="37" t="s">
        <v>355</v>
      </c>
      <c r="AP137" s="91"/>
    </row>
    <row r="138" spans="2:42">
      <c r="B138" s="45">
        <f t="shared" si="23"/>
        <v>134</v>
      </c>
      <c r="C138" s="43"/>
      <c r="D138" s="12" t="str">
        <f>IFERROR(VLOOKUP($C138,'【入力用②】案件ごと売上（D案件以上）'!$B$4:$Y$1048576,2,FALSE),"-")</f>
        <v>-</v>
      </c>
      <c r="E138" s="12" t="str">
        <f>IFERROR(VLOOKUP($C138,'【入力用②】案件ごと売上（D案件以上）'!$B$4:$Y$1048576,3,FALSE),"-")</f>
        <v>-</v>
      </c>
      <c r="F138" s="12" t="str">
        <f>IFERROR(VLOOKUP($C138,'【入力用②】案件ごと売上（D案件以上）'!$B$4:$Y$1048576,4,FALSE),"-")</f>
        <v>-</v>
      </c>
      <c r="G138" s="12" t="str">
        <f>IFERROR(VLOOKUP($C138,'【入力用②】案件ごと売上（D案件以上）'!$B$4:$Y$1048576,5,FALSE),"-")</f>
        <v>-</v>
      </c>
      <c r="H138" s="12" t="str">
        <f>IFERROR(VLOOKUP($C138,'【入力用②】案件ごと売上（D案件以上）'!$B$4:$Y$1048576,6,FALSE),"-")</f>
        <v>-</v>
      </c>
      <c r="I138" s="13" t="str">
        <f>IFERROR(VLOOKUP($C138,'【入力用②】案件ごと売上（D案件以上）'!$B$4:$Y$1048576,8,FALSE),"-")</f>
        <v>-</v>
      </c>
      <c r="J138" s="13">
        <f t="shared" ref="J138:J150" si="26">SUMIF($C$5:$C$1048576,C138,$AM$5:$AM$1048576)</f>
        <v>0</v>
      </c>
      <c r="K138" s="57" t="str">
        <f t="shared" si="19"/>
        <v>-</v>
      </c>
      <c r="L138" s="13" t="str">
        <f>IFERROR(VLOOKUP($C138,'【入力用②】案件ごと売上（D案件以上）'!$B$4:$Y$1048576,11,FALSE),"-")</f>
        <v>-</v>
      </c>
      <c r="M138" s="13" t="str">
        <f t="shared" si="24"/>
        <v>-</v>
      </c>
      <c r="N138" s="43"/>
      <c r="O138" s="54"/>
      <c r="P138" s="54"/>
      <c r="Q138" s="54"/>
      <c r="R138" s="54"/>
      <c r="S138" s="54"/>
      <c r="T138" s="54"/>
      <c r="U138" s="54"/>
      <c r="V138" s="54"/>
      <c r="W138" s="54"/>
      <c r="X138" s="54"/>
      <c r="Y138" s="54"/>
      <c r="Z138" s="54"/>
      <c r="AA138" s="13" t="str">
        <f>IFERROR(VLOOKUP($N138,【管理用】BR_260204!$B$3:$D$20,3,FALSE)*O138,"-")</f>
        <v>-</v>
      </c>
      <c r="AB138" s="13" t="str">
        <f>IFERROR(VLOOKUP($N138,【管理用】BR_260204!$B$3:$D$20,3,FALSE)*P138,"-")</f>
        <v>-</v>
      </c>
      <c r="AC138" s="13" t="str">
        <f>IFERROR(VLOOKUP($N138,【管理用】BR_260204!$B$3:$D$20,3,FALSE)*Q138,"-")</f>
        <v>-</v>
      </c>
      <c r="AD138" s="13" t="str">
        <f>IFERROR(VLOOKUP($N138,【管理用】BR_260204!$B$3:$D$20,3,FALSE)*R138,"-")</f>
        <v>-</v>
      </c>
      <c r="AE138" s="13" t="str">
        <f>IFERROR(VLOOKUP($N138,【管理用】BR_260204!$B$3:$D$20,3,FALSE)*S138,"-")</f>
        <v>-</v>
      </c>
      <c r="AF138" s="13" t="str">
        <f>IFERROR(VLOOKUP($N138,【管理用】BR_260204!$B$3:$D$20,3,FALSE)*T138,"-")</f>
        <v>-</v>
      </c>
      <c r="AG138" s="13" t="str">
        <f>IFERROR(VLOOKUP($N138,【管理用】BR_260204!$B$3:$D$20,3,FALSE)*U138,"-")</f>
        <v>-</v>
      </c>
      <c r="AH138" s="13" t="str">
        <f>IFERROR(VLOOKUP($N138,【管理用】BR_260204!$B$3:$D$20,3,FALSE)*V138,"-")</f>
        <v>-</v>
      </c>
      <c r="AI138" s="13" t="str">
        <f>IFERROR(VLOOKUP($N138,【管理用】BR_260204!$B$3:$D$20,3,FALSE)*W138,"-")</f>
        <v>-</v>
      </c>
      <c r="AJ138" s="13" t="str">
        <f>IFERROR(VLOOKUP($N138,【管理用】BR_260204!$B$3:$D$20,3,FALSE)*X138,"-")</f>
        <v>-</v>
      </c>
      <c r="AK138" s="13" t="str">
        <f>IFERROR(VLOOKUP($N138,【管理用】BR_260204!$B$3:$D$20,3,FALSE)*Y138,"-")</f>
        <v>-</v>
      </c>
      <c r="AL138" s="13" t="str">
        <f>IFERROR(VLOOKUP($N138,【管理用】BR_260204!$B$3:$D$20,3,FALSE)*Z138,"-")</f>
        <v>-</v>
      </c>
      <c r="AM138" s="13">
        <f t="shared" si="25"/>
        <v>0</v>
      </c>
      <c r="AN138" s="37" t="s">
        <v>355</v>
      </c>
      <c r="AP138" s="91"/>
    </row>
    <row r="139" spans="2:42">
      <c r="B139" s="45">
        <f t="shared" si="23"/>
        <v>135</v>
      </c>
      <c r="C139" s="43"/>
      <c r="D139" s="12" t="str">
        <f>IFERROR(VLOOKUP($C139,'【入力用②】案件ごと売上（D案件以上）'!$B$4:$Y$1048576,2,FALSE),"-")</f>
        <v>-</v>
      </c>
      <c r="E139" s="12" t="str">
        <f>IFERROR(VLOOKUP($C139,'【入力用②】案件ごと売上（D案件以上）'!$B$4:$Y$1048576,3,FALSE),"-")</f>
        <v>-</v>
      </c>
      <c r="F139" s="12" t="str">
        <f>IFERROR(VLOOKUP($C139,'【入力用②】案件ごと売上（D案件以上）'!$B$4:$Y$1048576,4,FALSE),"-")</f>
        <v>-</v>
      </c>
      <c r="G139" s="12" t="str">
        <f>IFERROR(VLOOKUP($C139,'【入力用②】案件ごと売上（D案件以上）'!$B$4:$Y$1048576,5,FALSE),"-")</f>
        <v>-</v>
      </c>
      <c r="H139" s="12" t="str">
        <f>IFERROR(VLOOKUP($C139,'【入力用②】案件ごと売上（D案件以上）'!$B$4:$Y$1048576,6,FALSE),"-")</f>
        <v>-</v>
      </c>
      <c r="I139" s="13" t="str">
        <f>IFERROR(VLOOKUP($C139,'【入力用②】案件ごと売上（D案件以上）'!$B$4:$Y$1048576,8,FALSE),"-")</f>
        <v>-</v>
      </c>
      <c r="J139" s="13">
        <f t="shared" si="26"/>
        <v>0</v>
      </c>
      <c r="K139" s="57" t="str">
        <f t="shared" si="19"/>
        <v>-</v>
      </c>
      <c r="L139" s="13" t="str">
        <f>IFERROR(VLOOKUP($C139,'【入力用②】案件ごと売上（D案件以上）'!$B$4:$Y$1048576,11,FALSE),"-")</f>
        <v>-</v>
      </c>
      <c r="M139" s="13" t="str">
        <f t="shared" si="24"/>
        <v>-</v>
      </c>
      <c r="N139" s="43"/>
      <c r="O139" s="54"/>
      <c r="P139" s="54"/>
      <c r="Q139" s="54"/>
      <c r="R139" s="54"/>
      <c r="S139" s="54"/>
      <c r="T139" s="54"/>
      <c r="U139" s="54"/>
      <c r="V139" s="54"/>
      <c r="W139" s="54"/>
      <c r="X139" s="54"/>
      <c r="Y139" s="54"/>
      <c r="Z139" s="54"/>
      <c r="AA139" s="13" t="str">
        <f>IFERROR(VLOOKUP($N139,【管理用】BR_260204!$B$3:$D$20,3,FALSE)*O139,"-")</f>
        <v>-</v>
      </c>
      <c r="AB139" s="13" t="str">
        <f>IFERROR(VLOOKUP($N139,【管理用】BR_260204!$B$3:$D$20,3,FALSE)*P139,"-")</f>
        <v>-</v>
      </c>
      <c r="AC139" s="13" t="str">
        <f>IFERROR(VLOOKUP($N139,【管理用】BR_260204!$B$3:$D$20,3,FALSE)*Q139,"-")</f>
        <v>-</v>
      </c>
      <c r="AD139" s="13" t="str">
        <f>IFERROR(VLOOKUP($N139,【管理用】BR_260204!$B$3:$D$20,3,FALSE)*R139,"-")</f>
        <v>-</v>
      </c>
      <c r="AE139" s="13" t="str">
        <f>IFERROR(VLOOKUP($N139,【管理用】BR_260204!$B$3:$D$20,3,FALSE)*S139,"-")</f>
        <v>-</v>
      </c>
      <c r="AF139" s="13" t="str">
        <f>IFERROR(VLOOKUP($N139,【管理用】BR_260204!$B$3:$D$20,3,FALSE)*T139,"-")</f>
        <v>-</v>
      </c>
      <c r="AG139" s="13" t="str">
        <f>IFERROR(VLOOKUP($N139,【管理用】BR_260204!$B$3:$D$20,3,FALSE)*U139,"-")</f>
        <v>-</v>
      </c>
      <c r="AH139" s="13" t="str">
        <f>IFERROR(VLOOKUP($N139,【管理用】BR_260204!$B$3:$D$20,3,FALSE)*V139,"-")</f>
        <v>-</v>
      </c>
      <c r="AI139" s="13" t="str">
        <f>IFERROR(VLOOKUP($N139,【管理用】BR_260204!$B$3:$D$20,3,FALSE)*W139,"-")</f>
        <v>-</v>
      </c>
      <c r="AJ139" s="13" t="str">
        <f>IFERROR(VLOOKUP($N139,【管理用】BR_260204!$B$3:$D$20,3,FALSE)*X139,"-")</f>
        <v>-</v>
      </c>
      <c r="AK139" s="13" t="str">
        <f>IFERROR(VLOOKUP($N139,【管理用】BR_260204!$B$3:$D$20,3,FALSE)*Y139,"-")</f>
        <v>-</v>
      </c>
      <c r="AL139" s="13" t="str">
        <f>IFERROR(VLOOKUP($N139,【管理用】BR_260204!$B$3:$D$20,3,FALSE)*Z139,"-")</f>
        <v>-</v>
      </c>
      <c r="AM139" s="13">
        <f t="shared" si="25"/>
        <v>0</v>
      </c>
      <c r="AN139" s="37" t="s">
        <v>355</v>
      </c>
      <c r="AP139" s="91"/>
    </row>
    <row r="140" spans="2:42">
      <c r="B140" s="45">
        <f t="shared" si="23"/>
        <v>136</v>
      </c>
      <c r="C140" s="43"/>
      <c r="D140" s="12" t="str">
        <f>IFERROR(VLOOKUP($C140,'【入力用②】案件ごと売上（D案件以上）'!$B$4:$Y$1048576,2,FALSE),"-")</f>
        <v>-</v>
      </c>
      <c r="E140" s="12" t="str">
        <f>IFERROR(VLOOKUP($C140,'【入力用②】案件ごと売上（D案件以上）'!$B$4:$Y$1048576,3,FALSE),"-")</f>
        <v>-</v>
      </c>
      <c r="F140" s="12" t="str">
        <f>IFERROR(VLOOKUP($C140,'【入力用②】案件ごと売上（D案件以上）'!$B$4:$Y$1048576,4,FALSE),"-")</f>
        <v>-</v>
      </c>
      <c r="G140" s="12" t="str">
        <f>IFERROR(VLOOKUP($C140,'【入力用②】案件ごと売上（D案件以上）'!$B$4:$Y$1048576,5,FALSE),"-")</f>
        <v>-</v>
      </c>
      <c r="H140" s="12" t="str">
        <f>IFERROR(VLOOKUP($C140,'【入力用②】案件ごと売上（D案件以上）'!$B$4:$Y$1048576,6,FALSE),"-")</f>
        <v>-</v>
      </c>
      <c r="I140" s="13" t="str">
        <f>IFERROR(VLOOKUP($C140,'【入力用②】案件ごと売上（D案件以上）'!$B$4:$Y$1048576,8,FALSE),"-")</f>
        <v>-</v>
      </c>
      <c r="J140" s="13">
        <f t="shared" si="26"/>
        <v>0</v>
      </c>
      <c r="K140" s="57" t="str">
        <f t="shared" si="19"/>
        <v>-</v>
      </c>
      <c r="L140" s="13" t="str">
        <f>IFERROR(VLOOKUP($C140,'【入力用②】案件ごと売上（D案件以上）'!$B$4:$Y$1048576,11,FALSE),"-")</f>
        <v>-</v>
      </c>
      <c r="M140" s="13" t="str">
        <f t="shared" si="24"/>
        <v>-</v>
      </c>
      <c r="N140" s="43"/>
      <c r="O140" s="54"/>
      <c r="P140" s="54"/>
      <c r="Q140" s="54"/>
      <c r="R140" s="54"/>
      <c r="S140" s="54"/>
      <c r="T140" s="54"/>
      <c r="U140" s="54"/>
      <c r="V140" s="54"/>
      <c r="W140" s="54"/>
      <c r="X140" s="54"/>
      <c r="Y140" s="54"/>
      <c r="Z140" s="54"/>
      <c r="AA140" s="13" t="str">
        <f>IFERROR(VLOOKUP($N140,【管理用】BR_260204!$B$3:$D$20,3,FALSE)*O140,"-")</f>
        <v>-</v>
      </c>
      <c r="AB140" s="13" t="str">
        <f>IFERROR(VLOOKUP($N140,【管理用】BR_260204!$B$3:$D$20,3,FALSE)*P140,"-")</f>
        <v>-</v>
      </c>
      <c r="AC140" s="13" t="str">
        <f>IFERROR(VLOOKUP($N140,【管理用】BR_260204!$B$3:$D$20,3,FALSE)*Q140,"-")</f>
        <v>-</v>
      </c>
      <c r="AD140" s="13" t="str">
        <f>IFERROR(VLOOKUP($N140,【管理用】BR_260204!$B$3:$D$20,3,FALSE)*R140,"-")</f>
        <v>-</v>
      </c>
      <c r="AE140" s="13" t="str">
        <f>IFERROR(VLOOKUP($N140,【管理用】BR_260204!$B$3:$D$20,3,FALSE)*S140,"-")</f>
        <v>-</v>
      </c>
      <c r="AF140" s="13" t="str">
        <f>IFERROR(VLOOKUP($N140,【管理用】BR_260204!$B$3:$D$20,3,FALSE)*T140,"-")</f>
        <v>-</v>
      </c>
      <c r="AG140" s="13" t="str">
        <f>IFERROR(VLOOKUP($N140,【管理用】BR_260204!$B$3:$D$20,3,FALSE)*U140,"-")</f>
        <v>-</v>
      </c>
      <c r="AH140" s="13" t="str">
        <f>IFERROR(VLOOKUP($N140,【管理用】BR_260204!$B$3:$D$20,3,FALSE)*V140,"-")</f>
        <v>-</v>
      </c>
      <c r="AI140" s="13" t="str">
        <f>IFERROR(VLOOKUP($N140,【管理用】BR_260204!$B$3:$D$20,3,FALSE)*W140,"-")</f>
        <v>-</v>
      </c>
      <c r="AJ140" s="13" t="str">
        <f>IFERROR(VLOOKUP($N140,【管理用】BR_260204!$B$3:$D$20,3,FALSE)*X140,"-")</f>
        <v>-</v>
      </c>
      <c r="AK140" s="13" t="str">
        <f>IFERROR(VLOOKUP($N140,【管理用】BR_260204!$B$3:$D$20,3,FALSE)*Y140,"-")</f>
        <v>-</v>
      </c>
      <c r="AL140" s="13" t="str">
        <f>IFERROR(VLOOKUP($N140,【管理用】BR_260204!$B$3:$D$20,3,FALSE)*Z140,"-")</f>
        <v>-</v>
      </c>
      <c r="AM140" s="13">
        <f t="shared" si="25"/>
        <v>0</v>
      </c>
      <c r="AN140" s="37" t="s">
        <v>355</v>
      </c>
      <c r="AP140" s="91"/>
    </row>
    <row r="141" spans="2:42">
      <c r="B141" s="45">
        <f t="shared" si="23"/>
        <v>137</v>
      </c>
      <c r="C141" s="43"/>
      <c r="D141" s="12" t="str">
        <f>IFERROR(VLOOKUP($C141,'【入力用②】案件ごと売上（D案件以上）'!$B$4:$Y$1048576,2,FALSE),"-")</f>
        <v>-</v>
      </c>
      <c r="E141" s="12" t="str">
        <f>IFERROR(VLOOKUP($C141,'【入力用②】案件ごと売上（D案件以上）'!$B$4:$Y$1048576,3,FALSE),"-")</f>
        <v>-</v>
      </c>
      <c r="F141" s="12" t="str">
        <f>IFERROR(VLOOKUP($C141,'【入力用②】案件ごと売上（D案件以上）'!$B$4:$Y$1048576,4,FALSE),"-")</f>
        <v>-</v>
      </c>
      <c r="G141" s="12" t="str">
        <f>IFERROR(VLOOKUP($C141,'【入力用②】案件ごと売上（D案件以上）'!$B$4:$Y$1048576,5,FALSE),"-")</f>
        <v>-</v>
      </c>
      <c r="H141" s="12" t="str">
        <f>IFERROR(VLOOKUP($C141,'【入力用②】案件ごと売上（D案件以上）'!$B$4:$Y$1048576,6,FALSE),"-")</f>
        <v>-</v>
      </c>
      <c r="I141" s="13" t="str">
        <f>IFERROR(VLOOKUP($C141,'【入力用②】案件ごと売上（D案件以上）'!$B$4:$Y$1048576,8,FALSE),"-")</f>
        <v>-</v>
      </c>
      <c r="J141" s="13">
        <f t="shared" si="26"/>
        <v>0</v>
      </c>
      <c r="K141" s="57" t="str">
        <f t="shared" si="19"/>
        <v>-</v>
      </c>
      <c r="L141" s="13" t="str">
        <f>IFERROR(VLOOKUP($C141,'【入力用②】案件ごと売上（D案件以上）'!$B$4:$Y$1048576,11,FALSE),"-")</f>
        <v>-</v>
      </c>
      <c r="M141" s="13" t="str">
        <f t="shared" si="24"/>
        <v>-</v>
      </c>
      <c r="N141" s="43"/>
      <c r="O141" s="54"/>
      <c r="P141" s="54"/>
      <c r="Q141" s="54"/>
      <c r="R141" s="54"/>
      <c r="S141" s="54"/>
      <c r="T141" s="54"/>
      <c r="U141" s="54"/>
      <c r="V141" s="54"/>
      <c r="W141" s="54"/>
      <c r="X141" s="54"/>
      <c r="Y141" s="54"/>
      <c r="Z141" s="54"/>
      <c r="AA141" s="13" t="str">
        <f>IFERROR(VLOOKUP($N141,【管理用】BR_260204!$B$3:$D$20,3,FALSE)*O141,"-")</f>
        <v>-</v>
      </c>
      <c r="AB141" s="13" t="str">
        <f>IFERROR(VLOOKUP($N141,【管理用】BR_260204!$B$3:$D$20,3,FALSE)*P141,"-")</f>
        <v>-</v>
      </c>
      <c r="AC141" s="13" t="str">
        <f>IFERROR(VLOOKUP($N141,【管理用】BR_260204!$B$3:$D$20,3,FALSE)*Q141,"-")</f>
        <v>-</v>
      </c>
      <c r="AD141" s="13" t="str">
        <f>IFERROR(VLOOKUP($N141,【管理用】BR_260204!$B$3:$D$20,3,FALSE)*R141,"-")</f>
        <v>-</v>
      </c>
      <c r="AE141" s="13" t="str">
        <f>IFERROR(VLOOKUP($N141,【管理用】BR_260204!$B$3:$D$20,3,FALSE)*S141,"-")</f>
        <v>-</v>
      </c>
      <c r="AF141" s="13" t="str">
        <f>IFERROR(VLOOKUP($N141,【管理用】BR_260204!$B$3:$D$20,3,FALSE)*T141,"-")</f>
        <v>-</v>
      </c>
      <c r="AG141" s="13" t="str">
        <f>IFERROR(VLOOKUP($N141,【管理用】BR_260204!$B$3:$D$20,3,FALSE)*U141,"-")</f>
        <v>-</v>
      </c>
      <c r="AH141" s="13" t="str">
        <f>IFERROR(VLOOKUP($N141,【管理用】BR_260204!$B$3:$D$20,3,FALSE)*V141,"-")</f>
        <v>-</v>
      </c>
      <c r="AI141" s="13" t="str">
        <f>IFERROR(VLOOKUP($N141,【管理用】BR_260204!$B$3:$D$20,3,FALSE)*W141,"-")</f>
        <v>-</v>
      </c>
      <c r="AJ141" s="13" t="str">
        <f>IFERROR(VLOOKUP($N141,【管理用】BR_260204!$B$3:$D$20,3,FALSE)*X141,"-")</f>
        <v>-</v>
      </c>
      <c r="AK141" s="13" t="str">
        <f>IFERROR(VLOOKUP($N141,【管理用】BR_260204!$B$3:$D$20,3,FALSE)*Y141,"-")</f>
        <v>-</v>
      </c>
      <c r="AL141" s="13" t="str">
        <f>IFERROR(VLOOKUP($N141,【管理用】BR_260204!$B$3:$D$20,3,FALSE)*Z141,"-")</f>
        <v>-</v>
      </c>
      <c r="AM141" s="13">
        <f t="shared" si="25"/>
        <v>0</v>
      </c>
      <c r="AN141" s="37" t="s">
        <v>355</v>
      </c>
      <c r="AP141" s="91"/>
    </row>
    <row r="142" spans="2:42">
      <c r="B142" s="45">
        <f t="shared" si="23"/>
        <v>138</v>
      </c>
      <c r="C142" s="43"/>
      <c r="D142" s="12" t="str">
        <f>IFERROR(VLOOKUP($C142,'【入力用②】案件ごと売上（D案件以上）'!$B$4:$Y$1048576,2,FALSE),"-")</f>
        <v>-</v>
      </c>
      <c r="E142" s="12" t="str">
        <f>IFERROR(VLOOKUP($C142,'【入力用②】案件ごと売上（D案件以上）'!$B$4:$Y$1048576,3,FALSE),"-")</f>
        <v>-</v>
      </c>
      <c r="F142" s="12" t="str">
        <f>IFERROR(VLOOKUP($C142,'【入力用②】案件ごと売上（D案件以上）'!$B$4:$Y$1048576,4,FALSE),"-")</f>
        <v>-</v>
      </c>
      <c r="G142" s="12" t="str">
        <f>IFERROR(VLOOKUP($C142,'【入力用②】案件ごと売上（D案件以上）'!$B$4:$Y$1048576,5,FALSE),"-")</f>
        <v>-</v>
      </c>
      <c r="H142" s="12" t="str">
        <f>IFERROR(VLOOKUP($C142,'【入力用②】案件ごと売上（D案件以上）'!$B$4:$Y$1048576,6,FALSE),"-")</f>
        <v>-</v>
      </c>
      <c r="I142" s="13" t="str">
        <f>IFERROR(VLOOKUP($C142,'【入力用②】案件ごと売上（D案件以上）'!$B$4:$Y$1048576,8,FALSE),"-")</f>
        <v>-</v>
      </c>
      <c r="J142" s="13">
        <f t="shared" si="26"/>
        <v>0</v>
      </c>
      <c r="K142" s="57" t="str">
        <f t="shared" si="19"/>
        <v>-</v>
      </c>
      <c r="L142" s="13" t="str">
        <f>IFERROR(VLOOKUP($C142,'【入力用②】案件ごと売上（D案件以上）'!$B$4:$Y$1048576,11,FALSE),"-")</f>
        <v>-</v>
      </c>
      <c r="M142" s="13" t="str">
        <f t="shared" si="24"/>
        <v>-</v>
      </c>
      <c r="N142" s="43"/>
      <c r="O142" s="54"/>
      <c r="P142" s="54"/>
      <c r="Q142" s="54"/>
      <c r="R142" s="54"/>
      <c r="S142" s="54"/>
      <c r="T142" s="54"/>
      <c r="U142" s="54"/>
      <c r="V142" s="54"/>
      <c r="W142" s="54"/>
      <c r="X142" s="54"/>
      <c r="Y142" s="54"/>
      <c r="Z142" s="54"/>
      <c r="AA142" s="13" t="str">
        <f>IFERROR(VLOOKUP($N142,【管理用】BR_260204!$B$3:$D$20,3,FALSE)*O142,"-")</f>
        <v>-</v>
      </c>
      <c r="AB142" s="13" t="str">
        <f>IFERROR(VLOOKUP($N142,【管理用】BR_260204!$B$3:$D$20,3,FALSE)*P142,"-")</f>
        <v>-</v>
      </c>
      <c r="AC142" s="13" t="str">
        <f>IFERROR(VLOOKUP($N142,【管理用】BR_260204!$B$3:$D$20,3,FALSE)*Q142,"-")</f>
        <v>-</v>
      </c>
      <c r="AD142" s="13" t="str">
        <f>IFERROR(VLOOKUP($N142,【管理用】BR_260204!$B$3:$D$20,3,FALSE)*R142,"-")</f>
        <v>-</v>
      </c>
      <c r="AE142" s="13" t="str">
        <f>IFERROR(VLOOKUP($N142,【管理用】BR_260204!$B$3:$D$20,3,FALSE)*S142,"-")</f>
        <v>-</v>
      </c>
      <c r="AF142" s="13" t="str">
        <f>IFERROR(VLOOKUP($N142,【管理用】BR_260204!$B$3:$D$20,3,FALSE)*T142,"-")</f>
        <v>-</v>
      </c>
      <c r="AG142" s="13" t="str">
        <f>IFERROR(VLOOKUP($N142,【管理用】BR_260204!$B$3:$D$20,3,FALSE)*U142,"-")</f>
        <v>-</v>
      </c>
      <c r="AH142" s="13" t="str">
        <f>IFERROR(VLOOKUP($N142,【管理用】BR_260204!$B$3:$D$20,3,FALSE)*V142,"-")</f>
        <v>-</v>
      </c>
      <c r="AI142" s="13" t="str">
        <f>IFERROR(VLOOKUP($N142,【管理用】BR_260204!$B$3:$D$20,3,FALSE)*W142,"-")</f>
        <v>-</v>
      </c>
      <c r="AJ142" s="13" t="str">
        <f>IFERROR(VLOOKUP($N142,【管理用】BR_260204!$B$3:$D$20,3,FALSE)*X142,"-")</f>
        <v>-</v>
      </c>
      <c r="AK142" s="13" t="str">
        <f>IFERROR(VLOOKUP($N142,【管理用】BR_260204!$B$3:$D$20,3,FALSE)*Y142,"-")</f>
        <v>-</v>
      </c>
      <c r="AL142" s="13" t="str">
        <f>IFERROR(VLOOKUP($N142,【管理用】BR_260204!$B$3:$D$20,3,FALSE)*Z142,"-")</f>
        <v>-</v>
      </c>
      <c r="AM142" s="13">
        <f t="shared" si="25"/>
        <v>0</v>
      </c>
      <c r="AN142" s="37" t="s">
        <v>355</v>
      </c>
      <c r="AP142" s="91"/>
    </row>
    <row r="143" spans="2:42">
      <c r="B143" s="45">
        <f t="shared" ref="B143:B150" si="27">ROW(A143)-4</f>
        <v>139</v>
      </c>
      <c r="C143" s="43"/>
      <c r="D143" s="12" t="str">
        <f>IFERROR(VLOOKUP($C143,'【入力用②】案件ごと売上（D案件以上）'!$B$4:$Y$1048576,2,FALSE),"-")</f>
        <v>-</v>
      </c>
      <c r="E143" s="12" t="str">
        <f>IFERROR(VLOOKUP($C143,'【入力用②】案件ごと売上（D案件以上）'!$B$4:$Y$1048576,3,FALSE),"-")</f>
        <v>-</v>
      </c>
      <c r="F143" s="12" t="str">
        <f>IFERROR(VLOOKUP($C143,'【入力用②】案件ごと売上（D案件以上）'!$B$4:$Y$1048576,4,FALSE),"-")</f>
        <v>-</v>
      </c>
      <c r="G143" s="12" t="str">
        <f>IFERROR(VLOOKUP($C143,'【入力用②】案件ごと売上（D案件以上）'!$B$4:$Y$1048576,5,FALSE),"-")</f>
        <v>-</v>
      </c>
      <c r="H143" s="12" t="str">
        <f>IFERROR(VLOOKUP($C143,'【入力用②】案件ごと売上（D案件以上）'!$B$4:$Y$1048576,6,FALSE),"-")</f>
        <v>-</v>
      </c>
      <c r="I143" s="13" t="str">
        <f>IFERROR(VLOOKUP($C143,'【入力用②】案件ごと売上（D案件以上）'!$B$4:$Y$1048576,8,FALSE),"-")</f>
        <v>-</v>
      </c>
      <c r="J143" s="13">
        <f t="shared" si="26"/>
        <v>0</v>
      </c>
      <c r="K143" s="57" t="str">
        <f t="shared" ref="K143:K150" si="28">IFERROR(I143-J143,"-")</f>
        <v>-</v>
      </c>
      <c r="L143" s="13" t="str">
        <f>IFERROR(VLOOKUP($C143,'【入力用②】案件ごと売上（D案件以上）'!$B$4:$Y$1048576,11,FALSE),"-")</f>
        <v>-</v>
      </c>
      <c r="M143" s="13" t="str">
        <f t="shared" si="24"/>
        <v>-</v>
      </c>
      <c r="N143" s="43"/>
      <c r="O143" s="54"/>
      <c r="P143" s="54"/>
      <c r="Q143" s="54"/>
      <c r="R143" s="54"/>
      <c r="S143" s="54"/>
      <c r="T143" s="54"/>
      <c r="U143" s="54"/>
      <c r="V143" s="54"/>
      <c r="W143" s="54"/>
      <c r="X143" s="54"/>
      <c r="Y143" s="54"/>
      <c r="Z143" s="54"/>
      <c r="AA143" s="13" t="str">
        <f>IFERROR(VLOOKUP($N143,【管理用】BR_260204!$B$3:$D$20,3,FALSE)*O143,"-")</f>
        <v>-</v>
      </c>
      <c r="AB143" s="13" t="str">
        <f>IFERROR(VLOOKUP($N143,【管理用】BR_260204!$B$3:$D$20,3,FALSE)*P143,"-")</f>
        <v>-</v>
      </c>
      <c r="AC143" s="13" t="str">
        <f>IFERROR(VLOOKUP($N143,【管理用】BR_260204!$B$3:$D$20,3,FALSE)*Q143,"-")</f>
        <v>-</v>
      </c>
      <c r="AD143" s="13" t="str">
        <f>IFERROR(VLOOKUP($N143,【管理用】BR_260204!$B$3:$D$20,3,FALSE)*R143,"-")</f>
        <v>-</v>
      </c>
      <c r="AE143" s="13" t="str">
        <f>IFERROR(VLOOKUP($N143,【管理用】BR_260204!$B$3:$D$20,3,FALSE)*S143,"-")</f>
        <v>-</v>
      </c>
      <c r="AF143" s="13" t="str">
        <f>IFERROR(VLOOKUP($N143,【管理用】BR_260204!$B$3:$D$20,3,FALSE)*T143,"-")</f>
        <v>-</v>
      </c>
      <c r="AG143" s="13" t="str">
        <f>IFERROR(VLOOKUP($N143,【管理用】BR_260204!$B$3:$D$20,3,FALSE)*U143,"-")</f>
        <v>-</v>
      </c>
      <c r="AH143" s="13" t="str">
        <f>IFERROR(VLOOKUP($N143,【管理用】BR_260204!$B$3:$D$20,3,FALSE)*V143,"-")</f>
        <v>-</v>
      </c>
      <c r="AI143" s="13" t="str">
        <f>IFERROR(VLOOKUP($N143,【管理用】BR_260204!$B$3:$D$20,3,FALSE)*W143,"-")</f>
        <v>-</v>
      </c>
      <c r="AJ143" s="13" t="str">
        <f>IFERROR(VLOOKUP($N143,【管理用】BR_260204!$B$3:$D$20,3,FALSE)*X143,"-")</f>
        <v>-</v>
      </c>
      <c r="AK143" s="13" t="str">
        <f>IFERROR(VLOOKUP($N143,【管理用】BR_260204!$B$3:$D$20,3,FALSE)*Y143,"-")</f>
        <v>-</v>
      </c>
      <c r="AL143" s="13" t="str">
        <f>IFERROR(VLOOKUP($N143,【管理用】BR_260204!$B$3:$D$20,3,FALSE)*Z143,"-")</f>
        <v>-</v>
      </c>
      <c r="AM143" s="13">
        <f t="shared" si="25"/>
        <v>0</v>
      </c>
      <c r="AN143" s="37" t="s">
        <v>355</v>
      </c>
      <c r="AP143" s="91"/>
    </row>
    <row r="144" spans="2:42">
      <c r="B144" s="45">
        <f t="shared" si="27"/>
        <v>140</v>
      </c>
      <c r="C144" s="43"/>
      <c r="D144" s="12" t="str">
        <f>IFERROR(VLOOKUP($C144,'【入力用②】案件ごと売上（D案件以上）'!$B$4:$Y$1048576,2,FALSE),"-")</f>
        <v>-</v>
      </c>
      <c r="E144" s="12" t="str">
        <f>IFERROR(VLOOKUP($C144,'【入力用②】案件ごと売上（D案件以上）'!$B$4:$Y$1048576,3,FALSE),"-")</f>
        <v>-</v>
      </c>
      <c r="F144" s="12" t="str">
        <f>IFERROR(VLOOKUP($C144,'【入力用②】案件ごと売上（D案件以上）'!$B$4:$Y$1048576,4,FALSE),"-")</f>
        <v>-</v>
      </c>
      <c r="G144" s="12" t="str">
        <f>IFERROR(VLOOKUP($C144,'【入力用②】案件ごと売上（D案件以上）'!$B$4:$Y$1048576,5,FALSE),"-")</f>
        <v>-</v>
      </c>
      <c r="H144" s="12" t="str">
        <f>IFERROR(VLOOKUP($C144,'【入力用②】案件ごと売上（D案件以上）'!$B$4:$Y$1048576,6,FALSE),"-")</f>
        <v>-</v>
      </c>
      <c r="I144" s="13" t="str">
        <f>IFERROR(VLOOKUP($C144,'【入力用②】案件ごと売上（D案件以上）'!$B$4:$Y$1048576,8,FALSE),"-")</f>
        <v>-</v>
      </c>
      <c r="J144" s="13">
        <f t="shared" si="26"/>
        <v>0</v>
      </c>
      <c r="K144" s="57" t="str">
        <f t="shared" si="28"/>
        <v>-</v>
      </c>
      <c r="L144" s="13" t="str">
        <f>IFERROR(VLOOKUP($C144,'【入力用②】案件ごと売上（D案件以上）'!$B$4:$Y$1048576,11,FALSE),"-")</f>
        <v>-</v>
      </c>
      <c r="M144" s="13" t="str">
        <f t="shared" si="24"/>
        <v>-</v>
      </c>
      <c r="N144" s="43"/>
      <c r="O144" s="54"/>
      <c r="P144" s="54"/>
      <c r="Q144" s="54"/>
      <c r="R144" s="54"/>
      <c r="S144" s="54"/>
      <c r="T144" s="54"/>
      <c r="U144" s="54"/>
      <c r="V144" s="54"/>
      <c r="W144" s="54"/>
      <c r="X144" s="54"/>
      <c r="Y144" s="54"/>
      <c r="Z144" s="54"/>
      <c r="AA144" s="13" t="str">
        <f>IFERROR(VLOOKUP($N144,【管理用】BR_260204!$B$3:$D$20,3,FALSE)*O144,"-")</f>
        <v>-</v>
      </c>
      <c r="AB144" s="13" t="str">
        <f>IFERROR(VLOOKUP($N144,【管理用】BR_260204!$B$3:$D$20,3,FALSE)*P144,"-")</f>
        <v>-</v>
      </c>
      <c r="AC144" s="13" t="str">
        <f>IFERROR(VLOOKUP($N144,【管理用】BR_260204!$B$3:$D$20,3,FALSE)*Q144,"-")</f>
        <v>-</v>
      </c>
      <c r="AD144" s="13" t="str">
        <f>IFERROR(VLOOKUP($N144,【管理用】BR_260204!$B$3:$D$20,3,FALSE)*R144,"-")</f>
        <v>-</v>
      </c>
      <c r="AE144" s="13" t="str">
        <f>IFERROR(VLOOKUP($N144,【管理用】BR_260204!$B$3:$D$20,3,FALSE)*S144,"-")</f>
        <v>-</v>
      </c>
      <c r="AF144" s="13" t="str">
        <f>IFERROR(VLOOKUP($N144,【管理用】BR_260204!$B$3:$D$20,3,FALSE)*T144,"-")</f>
        <v>-</v>
      </c>
      <c r="AG144" s="13" t="str">
        <f>IFERROR(VLOOKUP($N144,【管理用】BR_260204!$B$3:$D$20,3,FALSE)*U144,"-")</f>
        <v>-</v>
      </c>
      <c r="AH144" s="13" t="str">
        <f>IFERROR(VLOOKUP($N144,【管理用】BR_260204!$B$3:$D$20,3,FALSE)*V144,"-")</f>
        <v>-</v>
      </c>
      <c r="AI144" s="13" t="str">
        <f>IFERROR(VLOOKUP($N144,【管理用】BR_260204!$B$3:$D$20,3,FALSE)*W144,"-")</f>
        <v>-</v>
      </c>
      <c r="AJ144" s="13" t="str">
        <f>IFERROR(VLOOKUP($N144,【管理用】BR_260204!$B$3:$D$20,3,FALSE)*X144,"-")</f>
        <v>-</v>
      </c>
      <c r="AK144" s="13" t="str">
        <f>IFERROR(VLOOKUP($N144,【管理用】BR_260204!$B$3:$D$20,3,FALSE)*Y144,"-")</f>
        <v>-</v>
      </c>
      <c r="AL144" s="13" t="str">
        <f>IFERROR(VLOOKUP($N144,【管理用】BR_260204!$B$3:$D$20,3,FALSE)*Z144,"-")</f>
        <v>-</v>
      </c>
      <c r="AM144" s="13">
        <f t="shared" si="25"/>
        <v>0</v>
      </c>
      <c r="AN144" s="37" t="s">
        <v>355</v>
      </c>
      <c r="AP144" s="91"/>
    </row>
    <row r="145" spans="2:42">
      <c r="B145" s="45">
        <f t="shared" si="27"/>
        <v>141</v>
      </c>
      <c r="C145" s="43"/>
      <c r="D145" s="12" t="str">
        <f>IFERROR(VLOOKUP($C145,'【入力用②】案件ごと売上（D案件以上）'!$B$4:$Y$1048576,2,FALSE),"-")</f>
        <v>-</v>
      </c>
      <c r="E145" s="12" t="str">
        <f>IFERROR(VLOOKUP($C145,'【入力用②】案件ごと売上（D案件以上）'!$B$4:$Y$1048576,3,FALSE),"-")</f>
        <v>-</v>
      </c>
      <c r="F145" s="12" t="str">
        <f>IFERROR(VLOOKUP($C145,'【入力用②】案件ごと売上（D案件以上）'!$B$4:$Y$1048576,4,FALSE),"-")</f>
        <v>-</v>
      </c>
      <c r="G145" s="12" t="str">
        <f>IFERROR(VLOOKUP($C145,'【入力用②】案件ごと売上（D案件以上）'!$B$4:$Y$1048576,5,FALSE),"-")</f>
        <v>-</v>
      </c>
      <c r="H145" s="12" t="str">
        <f>IFERROR(VLOOKUP($C145,'【入力用②】案件ごと売上（D案件以上）'!$B$4:$Y$1048576,6,FALSE),"-")</f>
        <v>-</v>
      </c>
      <c r="I145" s="13" t="str">
        <f>IFERROR(VLOOKUP($C145,'【入力用②】案件ごと売上（D案件以上）'!$B$4:$Y$1048576,8,FALSE),"-")</f>
        <v>-</v>
      </c>
      <c r="J145" s="13">
        <f t="shared" si="26"/>
        <v>0</v>
      </c>
      <c r="K145" s="57" t="str">
        <f t="shared" si="28"/>
        <v>-</v>
      </c>
      <c r="L145" s="13" t="str">
        <f>IFERROR(VLOOKUP($C145,'【入力用②】案件ごと売上（D案件以上）'!$B$4:$Y$1048576,11,FALSE),"-")</f>
        <v>-</v>
      </c>
      <c r="M145" s="13" t="str">
        <f t="shared" si="24"/>
        <v>-</v>
      </c>
      <c r="N145" s="43"/>
      <c r="O145" s="54"/>
      <c r="P145" s="54"/>
      <c r="Q145" s="54"/>
      <c r="R145" s="54"/>
      <c r="S145" s="54"/>
      <c r="T145" s="54"/>
      <c r="U145" s="54"/>
      <c r="V145" s="54"/>
      <c r="W145" s="54"/>
      <c r="X145" s="54"/>
      <c r="Y145" s="54"/>
      <c r="Z145" s="54"/>
      <c r="AA145" s="13" t="str">
        <f>IFERROR(VLOOKUP($N145,【管理用】BR_260204!$B$3:$D$20,3,FALSE)*O145,"-")</f>
        <v>-</v>
      </c>
      <c r="AB145" s="13" t="str">
        <f>IFERROR(VLOOKUP($N145,【管理用】BR_260204!$B$3:$D$20,3,FALSE)*P145,"-")</f>
        <v>-</v>
      </c>
      <c r="AC145" s="13" t="str">
        <f>IFERROR(VLOOKUP($N145,【管理用】BR_260204!$B$3:$D$20,3,FALSE)*Q145,"-")</f>
        <v>-</v>
      </c>
      <c r="AD145" s="13" t="str">
        <f>IFERROR(VLOOKUP($N145,【管理用】BR_260204!$B$3:$D$20,3,FALSE)*R145,"-")</f>
        <v>-</v>
      </c>
      <c r="AE145" s="13" t="str">
        <f>IFERROR(VLOOKUP($N145,【管理用】BR_260204!$B$3:$D$20,3,FALSE)*S145,"-")</f>
        <v>-</v>
      </c>
      <c r="AF145" s="13" t="str">
        <f>IFERROR(VLOOKUP($N145,【管理用】BR_260204!$B$3:$D$20,3,FALSE)*T145,"-")</f>
        <v>-</v>
      </c>
      <c r="AG145" s="13" t="str">
        <f>IFERROR(VLOOKUP($N145,【管理用】BR_260204!$B$3:$D$20,3,FALSE)*U145,"-")</f>
        <v>-</v>
      </c>
      <c r="AH145" s="13" t="str">
        <f>IFERROR(VLOOKUP($N145,【管理用】BR_260204!$B$3:$D$20,3,FALSE)*V145,"-")</f>
        <v>-</v>
      </c>
      <c r="AI145" s="13" t="str">
        <f>IFERROR(VLOOKUP($N145,【管理用】BR_260204!$B$3:$D$20,3,FALSE)*W145,"-")</f>
        <v>-</v>
      </c>
      <c r="AJ145" s="13" t="str">
        <f>IFERROR(VLOOKUP($N145,【管理用】BR_260204!$B$3:$D$20,3,FALSE)*X145,"-")</f>
        <v>-</v>
      </c>
      <c r="AK145" s="13" t="str">
        <f>IFERROR(VLOOKUP($N145,【管理用】BR_260204!$B$3:$D$20,3,FALSE)*Y145,"-")</f>
        <v>-</v>
      </c>
      <c r="AL145" s="13" t="str">
        <f>IFERROR(VLOOKUP($N145,【管理用】BR_260204!$B$3:$D$20,3,FALSE)*Z145,"-")</f>
        <v>-</v>
      </c>
      <c r="AM145" s="13">
        <f t="shared" si="25"/>
        <v>0</v>
      </c>
      <c r="AN145" s="37" t="s">
        <v>355</v>
      </c>
      <c r="AP145" s="91"/>
    </row>
    <row r="146" spans="2:42">
      <c r="B146" s="45">
        <f t="shared" si="27"/>
        <v>142</v>
      </c>
      <c r="C146" s="43"/>
      <c r="D146" s="12" t="str">
        <f>IFERROR(VLOOKUP($C146,'【入力用②】案件ごと売上（D案件以上）'!$B$4:$Y$1048576,2,FALSE),"-")</f>
        <v>-</v>
      </c>
      <c r="E146" s="12" t="str">
        <f>IFERROR(VLOOKUP($C146,'【入力用②】案件ごと売上（D案件以上）'!$B$4:$Y$1048576,3,FALSE),"-")</f>
        <v>-</v>
      </c>
      <c r="F146" s="12" t="str">
        <f>IFERROR(VLOOKUP($C146,'【入力用②】案件ごと売上（D案件以上）'!$B$4:$Y$1048576,4,FALSE),"-")</f>
        <v>-</v>
      </c>
      <c r="G146" s="12" t="str">
        <f>IFERROR(VLOOKUP($C146,'【入力用②】案件ごと売上（D案件以上）'!$B$4:$Y$1048576,5,FALSE),"-")</f>
        <v>-</v>
      </c>
      <c r="H146" s="12" t="str">
        <f>IFERROR(VLOOKUP($C146,'【入力用②】案件ごと売上（D案件以上）'!$B$4:$Y$1048576,6,FALSE),"-")</f>
        <v>-</v>
      </c>
      <c r="I146" s="13" t="str">
        <f>IFERROR(VLOOKUP($C146,'【入力用②】案件ごと売上（D案件以上）'!$B$4:$Y$1048576,8,FALSE),"-")</f>
        <v>-</v>
      </c>
      <c r="J146" s="13">
        <f t="shared" si="26"/>
        <v>0</v>
      </c>
      <c r="K146" s="57" t="str">
        <f t="shared" si="28"/>
        <v>-</v>
      </c>
      <c r="L146" s="13" t="str">
        <f>IFERROR(VLOOKUP($C146,'【入力用②】案件ごと売上（D案件以上）'!$B$4:$Y$1048576,11,FALSE),"-")</f>
        <v>-</v>
      </c>
      <c r="M146" s="13" t="str">
        <f t="shared" si="24"/>
        <v>-</v>
      </c>
      <c r="N146" s="43"/>
      <c r="O146" s="54"/>
      <c r="P146" s="54"/>
      <c r="Q146" s="54"/>
      <c r="R146" s="54"/>
      <c r="S146" s="54"/>
      <c r="T146" s="54"/>
      <c r="U146" s="54"/>
      <c r="V146" s="54"/>
      <c r="W146" s="54"/>
      <c r="X146" s="54"/>
      <c r="Y146" s="54"/>
      <c r="Z146" s="54"/>
      <c r="AA146" s="13" t="str">
        <f>IFERROR(VLOOKUP($N146,【管理用】BR_260204!$B$3:$D$20,3,FALSE)*O146,"-")</f>
        <v>-</v>
      </c>
      <c r="AB146" s="13" t="str">
        <f>IFERROR(VLOOKUP($N146,【管理用】BR_260204!$B$3:$D$20,3,FALSE)*P146,"-")</f>
        <v>-</v>
      </c>
      <c r="AC146" s="13" t="str">
        <f>IFERROR(VLOOKUP($N146,【管理用】BR_260204!$B$3:$D$20,3,FALSE)*Q146,"-")</f>
        <v>-</v>
      </c>
      <c r="AD146" s="13" t="str">
        <f>IFERROR(VLOOKUP($N146,【管理用】BR_260204!$B$3:$D$20,3,FALSE)*R146,"-")</f>
        <v>-</v>
      </c>
      <c r="AE146" s="13" t="str">
        <f>IFERROR(VLOOKUP($N146,【管理用】BR_260204!$B$3:$D$20,3,FALSE)*S146,"-")</f>
        <v>-</v>
      </c>
      <c r="AF146" s="13" t="str">
        <f>IFERROR(VLOOKUP($N146,【管理用】BR_260204!$B$3:$D$20,3,FALSE)*T146,"-")</f>
        <v>-</v>
      </c>
      <c r="AG146" s="13" t="str">
        <f>IFERROR(VLOOKUP($N146,【管理用】BR_260204!$B$3:$D$20,3,FALSE)*U146,"-")</f>
        <v>-</v>
      </c>
      <c r="AH146" s="13" t="str">
        <f>IFERROR(VLOOKUP($N146,【管理用】BR_260204!$B$3:$D$20,3,FALSE)*V146,"-")</f>
        <v>-</v>
      </c>
      <c r="AI146" s="13" t="str">
        <f>IFERROR(VLOOKUP($N146,【管理用】BR_260204!$B$3:$D$20,3,FALSE)*W146,"-")</f>
        <v>-</v>
      </c>
      <c r="AJ146" s="13" t="str">
        <f>IFERROR(VLOOKUP($N146,【管理用】BR_260204!$B$3:$D$20,3,FALSE)*X146,"-")</f>
        <v>-</v>
      </c>
      <c r="AK146" s="13" t="str">
        <f>IFERROR(VLOOKUP($N146,【管理用】BR_260204!$B$3:$D$20,3,FALSE)*Y146,"-")</f>
        <v>-</v>
      </c>
      <c r="AL146" s="13" t="str">
        <f>IFERROR(VLOOKUP($N146,【管理用】BR_260204!$B$3:$D$20,3,FALSE)*Z146,"-")</f>
        <v>-</v>
      </c>
      <c r="AM146" s="13">
        <f t="shared" si="25"/>
        <v>0</v>
      </c>
      <c r="AN146" s="37" t="s">
        <v>355</v>
      </c>
      <c r="AP146" s="91"/>
    </row>
    <row r="147" spans="2:42">
      <c r="B147" s="45">
        <f t="shared" si="27"/>
        <v>143</v>
      </c>
      <c r="C147" s="43"/>
      <c r="D147" s="12" t="str">
        <f>IFERROR(VLOOKUP($C147,'【入力用②】案件ごと売上（D案件以上）'!$B$4:$Y$1048576,2,FALSE),"-")</f>
        <v>-</v>
      </c>
      <c r="E147" s="12" t="str">
        <f>IFERROR(VLOOKUP($C147,'【入力用②】案件ごと売上（D案件以上）'!$B$4:$Y$1048576,3,FALSE),"-")</f>
        <v>-</v>
      </c>
      <c r="F147" s="12" t="str">
        <f>IFERROR(VLOOKUP($C147,'【入力用②】案件ごと売上（D案件以上）'!$B$4:$Y$1048576,4,FALSE),"-")</f>
        <v>-</v>
      </c>
      <c r="G147" s="12" t="str">
        <f>IFERROR(VLOOKUP($C147,'【入力用②】案件ごと売上（D案件以上）'!$B$4:$Y$1048576,5,FALSE),"-")</f>
        <v>-</v>
      </c>
      <c r="H147" s="12" t="str">
        <f>IFERROR(VLOOKUP($C147,'【入力用②】案件ごと売上（D案件以上）'!$B$4:$Y$1048576,6,FALSE),"-")</f>
        <v>-</v>
      </c>
      <c r="I147" s="13" t="str">
        <f>IFERROR(VLOOKUP($C147,'【入力用②】案件ごと売上（D案件以上）'!$B$4:$Y$1048576,8,FALSE),"-")</f>
        <v>-</v>
      </c>
      <c r="J147" s="13">
        <f t="shared" si="26"/>
        <v>0</v>
      </c>
      <c r="K147" s="57" t="str">
        <f t="shared" si="28"/>
        <v>-</v>
      </c>
      <c r="L147" s="13" t="str">
        <f>IFERROR(VLOOKUP($C147,'【入力用②】案件ごと売上（D案件以上）'!$B$4:$Y$1048576,11,FALSE),"-")</f>
        <v>-</v>
      </c>
      <c r="M147" s="13" t="str">
        <f t="shared" si="24"/>
        <v>-</v>
      </c>
      <c r="N147" s="43"/>
      <c r="O147" s="54"/>
      <c r="P147" s="54"/>
      <c r="Q147" s="54"/>
      <c r="R147" s="54"/>
      <c r="S147" s="54"/>
      <c r="T147" s="54"/>
      <c r="U147" s="54"/>
      <c r="V147" s="54"/>
      <c r="W147" s="54"/>
      <c r="X147" s="54"/>
      <c r="Y147" s="54"/>
      <c r="Z147" s="54"/>
      <c r="AA147" s="13" t="str">
        <f>IFERROR(VLOOKUP($N147,【管理用】BR_260204!$B$3:$D$20,3,FALSE)*O147,"-")</f>
        <v>-</v>
      </c>
      <c r="AB147" s="13" t="str">
        <f>IFERROR(VLOOKUP($N147,【管理用】BR_260204!$B$3:$D$20,3,FALSE)*P147,"-")</f>
        <v>-</v>
      </c>
      <c r="AC147" s="13" t="str">
        <f>IFERROR(VLOOKUP($N147,【管理用】BR_260204!$B$3:$D$20,3,FALSE)*Q147,"-")</f>
        <v>-</v>
      </c>
      <c r="AD147" s="13" t="str">
        <f>IFERROR(VLOOKUP($N147,【管理用】BR_260204!$B$3:$D$20,3,FALSE)*R147,"-")</f>
        <v>-</v>
      </c>
      <c r="AE147" s="13" t="str">
        <f>IFERROR(VLOOKUP($N147,【管理用】BR_260204!$B$3:$D$20,3,FALSE)*S147,"-")</f>
        <v>-</v>
      </c>
      <c r="AF147" s="13" t="str">
        <f>IFERROR(VLOOKUP($N147,【管理用】BR_260204!$B$3:$D$20,3,FALSE)*T147,"-")</f>
        <v>-</v>
      </c>
      <c r="AG147" s="13" t="str">
        <f>IFERROR(VLOOKUP($N147,【管理用】BR_260204!$B$3:$D$20,3,FALSE)*U147,"-")</f>
        <v>-</v>
      </c>
      <c r="AH147" s="13" t="str">
        <f>IFERROR(VLOOKUP($N147,【管理用】BR_260204!$B$3:$D$20,3,FALSE)*V147,"-")</f>
        <v>-</v>
      </c>
      <c r="AI147" s="13" t="str">
        <f>IFERROR(VLOOKUP($N147,【管理用】BR_260204!$B$3:$D$20,3,FALSE)*W147,"-")</f>
        <v>-</v>
      </c>
      <c r="AJ147" s="13" t="str">
        <f>IFERROR(VLOOKUP($N147,【管理用】BR_260204!$B$3:$D$20,3,FALSE)*X147,"-")</f>
        <v>-</v>
      </c>
      <c r="AK147" s="13" t="str">
        <f>IFERROR(VLOOKUP($N147,【管理用】BR_260204!$B$3:$D$20,3,FALSE)*Y147,"-")</f>
        <v>-</v>
      </c>
      <c r="AL147" s="13" t="str">
        <f>IFERROR(VLOOKUP($N147,【管理用】BR_260204!$B$3:$D$20,3,FALSE)*Z147,"-")</f>
        <v>-</v>
      </c>
      <c r="AM147" s="13">
        <f t="shared" si="25"/>
        <v>0</v>
      </c>
      <c r="AN147" s="37" t="s">
        <v>355</v>
      </c>
      <c r="AP147" s="91"/>
    </row>
    <row r="148" spans="2:42">
      <c r="B148" s="45">
        <f t="shared" si="27"/>
        <v>144</v>
      </c>
      <c r="C148" s="43"/>
      <c r="D148" s="12" t="str">
        <f>IFERROR(VLOOKUP($C148,'【入力用②】案件ごと売上（D案件以上）'!$B$4:$Y$1048576,2,FALSE),"-")</f>
        <v>-</v>
      </c>
      <c r="E148" s="12" t="str">
        <f>IFERROR(VLOOKUP($C148,'【入力用②】案件ごと売上（D案件以上）'!$B$4:$Y$1048576,3,FALSE),"-")</f>
        <v>-</v>
      </c>
      <c r="F148" s="12" t="str">
        <f>IFERROR(VLOOKUP($C148,'【入力用②】案件ごと売上（D案件以上）'!$B$4:$Y$1048576,4,FALSE),"-")</f>
        <v>-</v>
      </c>
      <c r="G148" s="12" t="str">
        <f>IFERROR(VLOOKUP($C148,'【入力用②】案件ごと売上（D案件以上）'!$B$4:$Y$1048576,5,FALSE),"-")</f>
        <v>-</v>
      </c>
      <c r="H148" s="12" t="str">
        <f>IFERROR(VLOOKUP($C148,'【入力用②】案件ごと売上（D案件以上）'!$B$4:$Y$1048576,6,FALSE),"-")</f>
        <v>-</v>
      </c>
      <c r="I148" s="13" t="str">
        <f>IFERROR(VLOOKUP($C148,'【入力用②】案件ごと売上（D案件以上）'!$B$4:$Y$1048576,8,FALSE),"-")</f>
        <v>-</v>
      </c>
      <c r="J148" s="13">
        <f t="shared" si="26"/>
        <v>0</v>
      </c>
      <c r="K148" s="57" t="str">
        <f t="shared" si="28"/>
        <v>-</v>
      </c>
      <c r="L148" s="13" t="str">
        <f>IFERROR(VLOOKUP($C148,'【入力用②】案件ごと売上（D案件以上）'!$B$4:$Y$1048576,11,FALSE),"-")</f>
        <v>-</v>
      </c>
      <c r="M148" s="13" t="str">
        <f t="shared" si="24"/>
        <v>-</v>
      </c>
      <c r="N148" s="43"/>
      <c r="O148" s="54"/>
      <c r="P148" s="54"/>
      <c r="Q148" s="54"/>
      <c r="R148" s="54"/>
      <c r="S148" s="54"/>
      <c r="T148" s="54"/>
      <c r="U148" s="54"/>
      <c r="V148" s="54"/>
      <c r="W148" s="54"/>
      <c r="X148" s="54"/>
      <c r="Y148" s="54"/>
      <c r="Z148" s="54"/>
      <c r="AA148" s="13" t="str">
        <f>IFERROR(VLOOKUP($N148,【管理用】BR_260204!$B$3:$D$20,3,FALSE)*O148,"-")</f>
        <v>-</v>
      </c>
      <c r="AB148" s="13" t="str">
        <f>IFERROR(VLOOKUP($N148,【管理用】BR_260204!$B$3:$D$20,3,FALSE)*P148,"-")</f>
        <v>-</v>
      </c>
      <c r="AC148" s="13" t="str">
        <f>IFERROR(VLOOKUP($N148,【管理用】BR_260204!$B$3:$D$20,3,FALSE)*Q148,"-")</f>
        <v>-</v>
      </c>
      <c r="AD148" s="13" t="str">
        <f>IFERROR(VLOOKUP($N148,【管理用】BR_260204!$B$3:$D$20,3,FALSE)*R148,"-")</f>
        <v>-</v>
      </c>
      <c r="AE148" s="13" t="str">
        <f>IFERROR(VLOOKUP($N148,【管理用】BR_260204!$B$3:$D$20,3,FALSE)*S148,"-")</f>
        <v>-</v>
      </c>
      <c r="AF148" s="13" t="str">
        <f>IFERROR(VLOOKUP($N148,【管理用】BR_260204!$B$3:$D$20,3,FALSE)*T148,"-")</f>
        <v>-</v>
      </c>
      <c r="AG148" s="13" t="str">
        <f>IFERROR(VLOOKUP($N148,【管理用】BR_260204!$B$3:$D$20,3,FALSE)*U148,"-")</f>
        <v>-</v>
      </c>
      <c r="AH148" s="13" t="str">
        <f>IFERROR(VLOOKUP($N148,【管理用】BR_260204!$B$3:$D$20,3,FALSE)*V148,"-")</f>
        <v>-</v>
      </c>
      <c r="AI148" s="13" t="str">
        <f>IFERROR(VLOOKUP($N148,【管理用】BR_260204!$B$3:$D$20,3,FALSE)*W148,"-")</f>
        <v>-</v>
      </c>
      <c r="AJ148" s="13" t="str">
        <f>IFERROR(VLOOKUP($N148,【管理用】BR_260204!$B$3:$D$20,3,FALSE)*X148,"-")</f>
        <v>-</v>
      </c>
      <c r="AK148" s="13" t="str">
        <f>IFERROR(VLOOKUP($N148,【管理用】BR_260204!$B$3:$D$20,3,FALSE)*Y148,"-")</f>
        <v>-</v>
      </c>
      <c r="AL148" s="13" t="str">
        <f>IFERROR(VLOOKUP($N148,【管理用】BR_260204!$B$3:$D$20,3,FALSE)*Z148,"-")</f>
        <v>-</v>
      </c>
      <c r="AM148" s="13">
        <f t="shared" si="25"/>
        <v>0</v>
      </c>
      <c r="AN148" s="37" t="s">
        <v>355</v>
      </c>
      <c r="AP148" s="91"/>
    </row>
    <row r="149" spans="2:42">
      <c r="B149" s="45">
        <f t="shared" si="27"/>
        <v>145</v>
      </c>
      <c r="C149" s="43"/>
      <c r="D149" s="12" t="str">
        <f>IFERROR(VLOOKUP($C149,'【入力用②】案件ごと売上（D案件以上）'!$B$4:$Y$1048576,2,FALSE),"-")</f>
        <v>-</v>
      </c>
      <c r="E149" s="12" t="str">
        <f>IFERROR(VLOOKUP($C149,'【入力用②】案件ごと売上（D案件以上）'!$B$4:$Y$1048576,3,FALSE),"-")</f>
        <v>-</v>
      </c>
      <c r="F149" s="12" t="str">
        <f>IFERROR(VLOOKUP($C149,'【入力用②】案件ごと売上（D案件以上）'!$B$4:$Y$1048576,4,FALSE),"-")</f>
        <v>-</v>
      </c>
      <c r="G149" s="12" t="str">
        <f>IFERROR(VLOOKUP($C149,'【入力用②】案件ごと売上（D案件以上）'!$B$4:$Y$1048576,5,FALSE),"-")</f>
        <v>-</v>
      </c>
      <c r="H149" s="12" t="str">
        <f>IFERROR(VLOOKUP($C149,'【入力用②】案件ごと売上（D案件以上）'!$B$4:$Y$1048576,6,FALSE),"-")</f>
        <v>-</v>
      </c>
      <c r="I149" s="13" t="str">
        <f>IFERROR(VLOOKUP($C149,'【入力用②】案件ごと売上（D案件以上）'!$B$4:$Y$1048576,8,FALSE),"-")</f>
        <v>-</v>
      </c>
      <c r="J149" s="13">
        <f t="shared" si="26"/>
        <v>0</v>
      </c>
      <c r="K149" s="57" t="str">
        <f t="shared" si="28"/>
        <v>-</v>
      </c>
      <c r="L149" s="13" t="str">
        <f>IFERROR(VLOOKUP($C149,'【入力用②】案件ごと売上（D案件以上）'!$B$4:$Y$1048576,11,FALSE),"-")</f>
        <v>-</v>
      </c>
      <c r="M149" s="13" t="str">
        <f t="shared" si="24"/>
        <v>-</v>
      </c>
      <c r="N149" s="43"/>
      <c r="O149" s="54"/>
      <c r="P149" s="54"/>
      <c r="Q149" s="54"/>
      <c r="R149" s="54"/>
      <c r="S149" s="54"/>
      <c r="T149" s="54"/>
      <c r="U149" s="54"/>
      <c r="V149" s="54"/>
      <c r="W149" s="54"/>
      <c r="X149" s="54"/>
      <c r="Y149" s="54"/>
      <c r="Z149" s="54"/>
      <c r="AA149" s="13" t="str">
        <f>IFERROR(VLOOKUP($N149,【管理用】BR_260204!$B$3:$D$20,3,FALSE)*O149,"-")</f>
        <v>-</v>
      </c>
      <c r="AB149" s="13" t="str">
        <f>IFERROR(VLOOKUP($N149,【管理用】BR_260204!$B$3:$D$20,3,FALSE)*P149,"-")</f>
        <v>-</v>
      </c>
      <c r="AC149" s="13" t="str">
        <f>IFERROR(VLOOKUP($N149,【管理用】BR_260204!$B$3:$D$20,3,FALSE)*Q149,"-")</f>
        <v>-</v>
      </c>
      <c r="AD149" s="13" t="str">
        <f>IFERROR(VLOOKUP($N149,【管理用】BR_260204!$B$3:$D$20,3,FALSE)*R149,"-")</f>
        <v>-</v>
      </c>
      <c r="AE149" s="13" t="str">
        <f>IFERROR(VLOOKUP($N149,【管理用】BR_260204!$B$3:$D$20,3,FALSE)*S149,"-")</f>
        <v>-</v>
      </c>
      <c r="AF149" s="13" t="str">
        <f>IFERROR(VLOOKUP($N149,【管理用】BR_260204!$B$3:$D$20,3,FALSE)*T149,"-")</f>
        <v>-</v>
      </c>
      <c r="AG149" s="13" t="str">
        <f>IFERROR(VLOOKUP($N149,【管理用】BR_260204!$B$3:$D$20,3,FALSE)*U149,"-")</f>
        <v>-</v>
      </c>
      <c r="AH149" s="13" t="str">
        <f>IFERROR(VLOOKUP($N149,【管理用】BR_260204!$B$3:$D$20,3,FALSE)*V149,"-")</f>
        <v>-</v>
      </c>
      <c r="AI149" s="13" t="str">
        <f>IFERROR(VLOOKUP($N149,【管理用】BR_260204!$B$3:$D$20,3,FALSE)*W149,"-")</f>
        <v>-</v>
      </c>
      <c r="AJ149" s="13" t="str">
        <f>IFERROR(VLOOKUP($N149,【管理用】BR_260204!$B$3:$D$20,3,FALSE)*X149,"-")</f>
        <v>-</v>
      </c>
      <c r="AK149" s="13" t="str">
        <f>IFERROR(VLOOKUP($N149,【管理用】BR_260204!$B$3:$D$20,3,FALSE)*Y149,"-")</f>
        <v>-</v>
      </c>
      <c r="AL149" s="13" t="str">
        <f>IFERROR(VLOOKUP($N149,【管理用】BR_260204!$B$3:$D$20,3,FALSE)*Z149,"-")</f>
        <v>-</v>
      </c>
      <c r="AM149" s="13">
        <f t="shared" si="25"/>
        <v>0</v>
      </c>
      <c r="AN149" s="37" t="s">
        <v>355</v>
      </c>
      <c r="AP149" s="91"/>
    </row>
    <row r="150" spans="2:42">
      <c r="B150" s="45">
        <f t="shared" si="27"/>
        <v>146</v>
      </c>
      <c r="C150" s="43"/>
      <c r="D150" s="12" t="str">
        <f>IFERROR(VLOOKUP($C150,'【入力用②】案件ごと売上（D案件以上）'!$B$4:$Y$1048576,2,FALSE),"-")</f>
        <v>-</v>
      </c>
      <c r="E150" s="12" t="str">
        <f>IFERROR(VLOOKUP($C150,'【入力用②】案件ごと売上（D案件以上）'!$B$4:$Y$1048576,3,FALSE),"-")</f>
        <v>-</v>
      </c>
      <c r="F150" s="12" t="str">
        <f>IFERROR(VLOOKUP($C150,'【入力用②】案件ごと売上（D案件以上）'!$B$4:$Y$1048576,4,FALSE),"-")</f>
        <v>-</v>
      </c>
      <c r="G150" s="12" t="str">
        <f>IFERROR(VLOOKUP($C150,'【入力用②】案件ごと売上（D案件以上）'!$B$4:$Y$1048576,5,FALSE),"-")</f>
        <v>-</v>
      </c>
      <c r="H150" s="12" t="str">
        <f>IFERROR(VLOOKUP($C150,'【入力用②】案件ごと売上（D案件以上）'!$B$4:$Y$1048576,6,FALSE),"-")</f>
        <v>-</v>
      </c>
      <c r="I150" s="13" t="str">
        <f>IFERROR(VLOOKUP($C150,'【入力用②】案件ごと売上（D案件以上）'!$B$4:$Y$1048576,8,FALSE),"-")</f>
        <v>-</v>
      </c>
      <c r="J150" s="13">
        <f t="shared" si="26"/>
        <v>0</v>
      </c>
      <c r="K150" s="57" t="str">
        <f t="shared" si="28"/>
        <v>-</v>
      </c>
      <c r="L150" s="13" t="str">
        <f>IFERROR(VLOOKUP($C150,'【入力用②】案件ごと売上（D案件以上）'!$B$4:$Y$1048576,11,FALSE),"-")</f>
        <v>-</v>
      </c>
      <c r="M150" s="13" t="str">
        <f t="shared" si="24"/>
        <v>-</v>
      </c>
      <c r="N150" s="43"/>
      <c r="O150" s="54"/>
      <c r="P150" s="54"/>
      <c r="Q150" s="54"/>
      <c r="R150" s="54"/>
      <c r="S150" s="54"/>
      <c r="T150" s="54"/>
      <c r="U150" s="54"/>
      <c r="V150" s="54"/>
      <c r="W150" s="54"/>
      <c r="X150" s="54"/>
      <c r="Y150" s="54"/>
      <c r="Z150" s="54"/>
      <c r="AA150" s="13" t="str">
        <f>IFERROR(VLOOKUP($N150,【管理用】BR_260204!$B$3:$D$20,3,FALSE)*O150,"-")</f>
        <v>-</v>
      </c>
      <c r="AB150" s="13" t="str">
        <f>IFERROR(VLOOKUP($N150,【管理用】BR_260204!$B$3:$D$20,3,FALSE)*P150,"-")</f>
        <v>-</v>
      </c>
      <c r="AC150" s="13" t="str">
        <f>IFERROR(VLOOKUP($N150,【管理用】BR_260204!$B$3:$D$20,3,FALSE)*Q150,"-")</f>
        <v>-</v>
      </c>
      <c r="AD150" s="13" t="str">
        <f>IFERROR(VLOOKUP($N150,【管理用】BR_260204!$B$3:$D$20,3,FALSE)*R150,"-")</f>
        <v>-</v>
      </c>
      <c r="AE150" s="13" t="str">
        <f>IFERROR(VLOOKUP($N150,【管理用】BR_260204!$B$3:$D$20,3,FALSE)*S150,"-")</f>
        <v>-</v>
      </c>
      <c r="AF150" s="13" t="str">
        <f>IFERROR(VLOOKUP($N150,【管理用】BR_260204!$B$3:$D$20,3,FALSE)*T150,"-")</f>
        <v>-</v>
      </c>
      <c r="AG150" s="13" t="str">
        <f>IFERROR(VLOOKUP($N150,【管理用】BR_260204!$B$3:$D$20,3,FALSE)*U150,"-")</f>
        <v>-</v>
      </c>
      <c r="AH150" s="13" t="str">
        <f>IFERROR(VLOOKUP($N150,【管理用】BR_260204!$B$3:$D$20,3,FALSE)*V150,"-")</f>
        <v>-</v>
      </c>
      <c r="AI150" s="13" t="str">
        <f>IFERROR(VLOOKUP($N150,【管理用】BR_260204!$B$3:$D$20,3,FALSE)*W150,"-")</f>
        <v>-</v>
      </c>
      <c r="AJ150" s="13" t="str">
        <f>IFERROR(VLOOKUP($N150,【管理用】BR_260204!$B$3:$D$20,3,FALSE)*X150,"-")</f>
        <v>-</v>
      </c>
      <c r="AK150" s="13" t="str">
        <f>IFERROR(VLOOKUP($N150,【管理用】BR_260204!$B$3:$D$20,3,FALSE)*Y150,"-")</f>
        <v>-</v>
      </c>
      <c r="AL150" s="13" t="str">
        <f>IFERROR(VLOOKUP($N150,【管理用】BR_260204!$B$3:$D$20,3,FALSE)*Z150,"-")</f>
        <v>-</v>
      </c>
      <c r="AM150" s="13">
        <f t="shared" si="25"/>
        <v>0</v>
      </c>
      <c r="AN150" s="37" t="s">
        <v>355</v>
      </c>
      <c r="AP150" s="91"/>
    </row>
    <row r="151" spans="2:42">
      <c r="B151" s="42" t="s">
        <v>355</v>
      </c>
      <c r="C151" s="42" t="s">
        <v>355</v>
      </c>
      <c r="D151" s="42" t="s">
        <v>355</v>
      </c>
      <c r="E151" s="42" t="s">
        <v>355</v>
      </c>
      <c r="F151" s="42" t="s">
        <v>355</v>
      </c>
      <c r="G151" s="42" t="s">
        <v>355</v>
      </c>
      <c r="H151" s="42" t="s">
        <v>355</v>
      </c>
      <c r="I151" s="42" t="s">
        <v>355</v>
      </c>
      <c r="J151" s="42" t="s">
        <v>355</v>
      </c>
      <c r="K151" s="42" t="s">
        <v>355</v>
      </c>
      <c r="L151" s="42" t="s">
        <v>355</v>
      </c>
      <c r="M151" s="42" t="s">
        <v>355</v>
      </c>
      <c r="N151" s="42" t="s">
        <v>355</v>
      </c>
      <c r="O151" s="42" t="s">
        <v>355</v>
      </c>
      <c r="P151" s="42" t="s">
        <v>355</v>
      </c>
      <c r="Q151" s="42" t="s">
        <v>355</v>
      </c>
      <c r="R151" s="42" t="s">
        <v>355</v>
      </c>
      <c r="S151" s="42" t="s">
        <v>355</v>
      </c>
      <c r="T151" s="42" t="s">
        <v>355</v>
      </c>
      <c r="U151" s="42" t="s">
        <v>355</v>
      </c>
      <c r="V151" s="42" t="s">
        <v>355</v>
      </c>
      <c r="W151" s="42" t="s">
        <v>355</v>
      </c>
      <c r="X151" s="42" t="s">
        <v>355</v>
      </c>
      <c r="Y151" s="42" t="s">
        <v>355</v>
      </c>
      <c r="Z151" s="42" t="s">
        <v>355</v>
      </c>
      <c r="AA151" s="42" t="s">
        <v>355</v>
      </c>
      <c r="AB151" s="42" t="s">
        <v>355</v>
      </c>
      <c r="AC151" s="42" t="s">
        <v>355</v>
      </c>
      <c r="AD151" s="42" t="s">
        <v>355</v>
      </c>
      <c r="AE151" s="42" t="s">
        <v>355</v>
      </c>
      <c r="AF151" s="42" t="s">
        <v>355</v>
      </c>
      <c r="AG151" s="42" t="s">
        <v>355</v>
      </c>
      <c r="AH151" s="42" t="s">
        <v>355</v>
      </c>
      <c r="AI151" s="42" t="s">
        <v>355</v>
      </c>
      <c r="AJ151" s="42" t="s">
        <v>355</v>
      </c>
      <c r="AK151" s="42" t="s">
        <v>355</v>
      </c>
      <c r="AL151" s="42" t="s">
        <v>355</v>
      </c>
      <c r="AM151" s="42" t="s">
        <v>355</v>
      </c>
      <c r="AN151" s="42" t="s">
        <v>355</v>
      </c>
    </row>
  </sheetData>
  <autoFilter ref="B4:AM151" xr:uid="{68AA5D78-EC41-4202-B43E-955FC065AA2B}"/>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7DFAC-219F-401B-A012-9E8AEF3C99F1}">
  <dimension ref="B3:D16"/>
  <sheetViews>
    <sheetView workbookViewId="0"/>
  </sheetViews>
  <sheetFormatPr defaultRowHeight="18"/>
  <cols>
    <col min="3" max="3" width="10.83203125" bestFit="1" customWidth="1"/>
  </cols>
  <sheetData>
    <row r="3" spans="2:4">
      <c r="B3" s="47" t="s">
        <v>476</v>
      </c>
      <c r="C3" s="47" t="s">
        <v>497</v>
      </c>
      <c r="D3" s="90" t="s">
        <v>498</v>
      </c>
    </row>
    <row r="4" spans="2:4">
      <c r="B4" s="92" t="s">
        <v>333</v>
      </c>
      <c r="C4" s="93">
        <v>8500000</v>
      </c>
      <c r="D4" s="93">
        <f t="shared" ref="D4:D16" si="0">C4/1000</f>
        <v>8500</v>
      </c>
    </row>
    <row r="5" spans="2:4">
      <c r="B5" s="92" t="s">
        <v>396</v>
      </c>
      <c r="C5" s="93">
        <v>6160000</v>
      </c>
      <c r="D5" s="93">
        <f t="shared" si="0"/>
        <v>6160</v>
      </c>
    </row>
    <row r="6" spans="2:4">
      <c r="B6" s="92" t="s">
        <v>496</v>
      </c>
      <c r="C6" s="93">
        <v>3800000</v>
      </c>
      <c r="D6" s="93">
        <f t="shared" si="0"/>
        <v>3800</v>
      </c>
    </row>
    <row r="7" spans="2:4">
      <c r="B7" s="92" t="s">
        <v>191</v>
      </c>
      <c r="C7" s="93">
        <v>2550000</v>
      </c>
      <c r="D7" s="93">
        <f t="shared" si="0"/>
        <v>2550</v>
      </c>
    </row>
    <row r="8" spans="2:4">
      <c r="B8" s="92" t="s">
        <v>433</v>
      </c>
      <c r="C8" s="93">
        <v>2230000</v>
      </c>
      <c r="D8" s="93">
        <f t="shared" si="0"/>
        <v>2230</v>
      </c>
    </row>
    <row r="9" spans="2:4">
      <c r="B9" s="92" t="s">
        <v>187</v>
      </c>
      <c r="C9" s="93">
        <v>2200000</v>
      </c>
      <c r="D9" s="93">
        <f t="shared" si="0"/>
        <v>2200</v>
      </c>
    </row>
    <row r="10" spans="2:4">
      <c r="B10" s="92" t="s">
        <v>412</v>
      </c>
      <c r="C10" s="93">
        <v>2070000</v>
      </c>
      <c r="D10" s="93">
        <f t="shared" si="0"/>
        <v>2070</v>
      </c>
    </row>
    <row r="11" spans="2:4">
      <c r="B11" s="92" t="s">
        <v>499</v>
      </c>
      <c r="C11" s="93">
        <v>1880000</v>
      </c>
      <c r="D11" s="93">
        <f t="shared" si="0"/>
        <v>1880</v>
      </c>
    </row>
    <row r="12" spans="2:4">
      <c r="B12" s="92" t="s">
        <v>492</v>
      </c>
      <c r="C12" s="93">
        <v>1750000</v>
      </c>
      <c r="D12" s="93">
        <f t="shared" si="0"/>
        <v>1750</v>
      </c>
    </row>
    <row r="13" spans="2:4">
      <c r="B13" s="92" t="s">
        <v>500</v>
      </c>
      <c r="C13" s="93">
        <v>2620000</v>
      </c>
      <c r="D13" s="93">
        <f t="shared" si="0"/>
        <v>2620</v>
      </c>
    </row>
    <row r="14" spans="2:4">
      <c r="B14" s="92" t="s">
        <v>491</v>
      </c>
      <c r="C14" s="93">
        <v>1000000</v>
      </c>
      <c r="D14" s="93">
        <f t="shared" si="0"/>
        <v>1000</v>
      </c>
    </row>
    <row r="15" spans="2:4">
      <c r="B15" s="92" t="s">
        <v>501</v>
      </c>
      <c r="C15" s="93">
        <v>6030000</v>
      </c>
      <c r="D15" s="93">
        <f t="shared" si="0"/>
        <v>6030</v>
      </c>
    </row>
    <row r="16" spans="2:4">
      <c r="B16" s="92" t="s">
        <v>502</v>
      </c>
      <c r="C16" s="93">
        <v>2710000</v>
      </c>
      <c r="D16" s="93">
        <f t="shared" si="0"/>
        <v>2710</v>
      </c>
    </row>
  </sheetData>
  <sheetProtection algorithmName="SHA-512" hashValue="T8N5M1Pp1LJmuDjYH8cwvkaSWvC5mnw0eaGlyvw1+SoZHy68k3v33TKqCc/pC1xm2csEWOMQn770btCPocrIkw==" saltValue="Mf6b6+s/3TFHCq4focNHaw==" spinCount="100000" sheet="1" objects="1" scenarios="1" selectLockedCells="1" selectUnlockedCells="1"/>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29EF8-FDA6-40F3-978D-503BA90FBB43}">
  <dimension ref="B2:M9"/>
  <sheetViews>
    <sheetView showGridLines="0" zoomScale="70" zoomScaleNormal="70" workbookViewId="0">
      <selection activeCell="F6" sqref="F6"/>
    </sheetView>
  </sheetViews>
  <sheetFormatPr defaultColWidth="8.58203125" defaultRowHeight="15"/>
  <cols>
    <col min="1" max="1" width="8.58203125" style="1"/>
    <col min="2" max="2" width="13" style="1" bestFit="1" customWidth="1"/>
    <col min="3" max="3" width="8.58203125" style="1"/>
    <col min="4" max="4" width="5" style="1" bestFit="1" customWidth="1"/>
    <col min="5" max="5" width="4.58203125" style="1" bestFit="1" customWidth="1"/>
    <col min="6" max="6" width="12.58203125" style="1" bestFit="1" customWidth="1"/>
    <col min="7" max="7" width="70.08203125" style="1" bestFit="1" customWidth="1"/>
    <col min="8" max="8" width="8.58203125" style="1"/>
    <col min="9" max="9" width="21.08203125" style="1" bestFit="1" customWidth="1"/>
    <col min="10" max="10" width="12.5" style="1" bestFit="1" customWidth="1"/>
    <col min="11" max="11" width="5.08203125" style="1" bestFit="1" customWidth="1"/>
    <col min="12" max="12" width="13.08203125" style="1" bestFit="1" customWidth="1"/>
    <col min="13" max="13" width="19.08203125" style="1" bestFit="1" customWidth="1"/>
    <col min="14" max="16384" width="8.58203125" style="1"/>
  </cols>
  <sheetData>
    <row r="2" spans="2:13">
      <c r="B2" s="47" t="s">
        <v>342</v>
      </c>
      <c r="D2" s="47" t="s">
        <v>343</v>
      </c>
      <c r="E2" s="47" t="s">
        <v>503</v>
      </c>
      <c r="F2" s="47" t="s">
        <v>504</v>
      </c>
      <c r="G2" s="47" t="s">
        <v>505</v>
      </c>
      <c r="I2" s="46" t="s">
        <v>98</v>
      </c>
      <c r="J2" s="46" t="s">
        <v>99</v>
      </c>
      <c r="K2" s="46" t="s">
        <v>104</v>
      </c>
      <c r="L2" s="46" t="s">
        <v>105</v>
      </c>
      <c r="M2" s="46" t="s">
        <v>106</v>
      </c>
    </row>
    <row r="3" spans="2:13">
      <c r="B3" s="2" t="s">
        <v>407</v>
      </c>
      <c r="D3" s="2" t="s">
        <v>275</v>
      </c>
      <c r="E3" s="2">
        <v>1</v>
      </c>
      <c r="F3" s="2" t="s">
        <v>506</v>
      </c>
      <c r="G3" s="2" t="s">
        <v>507</v>
      </c>
      <c r="I3" s="2" t="s">
        <v>157</v>
      </c>
      <c r="J3" s="2" t="s">
        <v>112</v>
      </c>
      <c r="K3" s="2" t="s">
        <v>275</v>
      </c>
      <c r="L3" s="2" t="s">
        <v>508</v>
      </c>
      <c r="M3" s="2" t="s">
        <v>508</v>
      </c>
    </row>
    <row r="4" spans="2:13">
      <c r="B4" s="2" t="s">
        <v>362</v>
      </c>
      <c r="D4" s="2" t="s">
        <v>222</v>
      </c>
      <c r="E4" s="2">
        <v>0.9</v>
      </c>
      <c r="F4" s="2" t="s">
        <v>509</v>
      </c>
      <c r="G4" s="2" t="s">
        <v>510</v>
      </c>
      <c r="I4" s="2" t="s">
        <v>118</v>
      </c>
      <c r="J4" s="2" t="s">
        <v>511</v>
      </c>
      <c r="K4" s="2" t="s">
        <v>222</v>
      </c>
      <c r="L4" s="2" t="s">
        <v>512</v>
      </c>
      <c r="M4" s="2" t="s">
        <v>512</v>
      </c>
    </row>
    <row r="5" spans="2:13">
      <c r="B5" s="2" t="s">
        <v>513</v>
      </c>
      <c r="D5" s="2" t="s">
        <v>444</v>
      </c>
      <c r="E5" s="2">
        <v>0.7</v>
      </c>
      <c r="F5" s="2" t="s">
        <v>514</v>
      </c>
      <c r="G5" s="2" t="s">
        <v>515</v>
      </c>
      <c r="I5" s="2" t="s">
        <v>516</v>
      </c>
      <c r="J5" s="2" t="s">
        <v>517</v>
      </c>
      <c r="K5" s="2" t="s">
        <v>444</v>
      </c>
      <c r="L5" s="2" t="s">
        <v>518</v>
      </c>
      <c r="M5" s="2" t="s">
        <v>518</v>
      </c>
    </row>
    <row r="6" spans="2:13">
      <c r="B6" s="2" t="s">
        <v>383</v>
      </c>
      <c r="D6" s="2" t="s">
        <v>163</v>
      </c>
      <c r="E6" s="2">
        <v>0.3</v>
      </c>
      <c r="F6" s="2" t="s">
        <v>519</v>
      </c>
      <c r="G6" s="2" t="s">
        <v>520</v>
      </c>
      <c r="I6" s="2" t="s">
        <v>521</v>
      </c>
      <c r="J6" s="2" t="s">
        <v>522</v>
      </c>
      <c r="K6" s="2" t="s">
        <v>163</v>
      </c>
      <c r="L6" s="2" t="s">
        <v>523</v>
      </c>
      <c r="M6" s="2" t="s">
        <v>523</v>
      </c>
    </row>
    <row r="7" spans="2:13">
      <c r="B7" s="2"/>
      <c r="D7" s="2" t="s">
        <v>244</v>
      </c>
      <c r="E7" s="2">
        <v>0.2</v>
      </c>
      <c r="F7" s="2" t="s">
        <v>524</v>
      </c>
      <c r="G7" s="2" t="s">
        <v>525</v>
      </c>
      <c r="I7" s="2" t="s">
        <v>174</v>
      </c>
      <c r="J7" s="2" t="s">
        <v>526</v>
      </c>
      <c r="K7" s="2" t="s">
        <v>244</v>
      </c>
      <c r="L7" s="2"/>
      <c r="M7" s="2"/>
    </row>
    <row r="8" spans="2:13">
      <c r="D8" s="2" t="s">
        <v>256</v>
      </c>
      <c r="E8" s="2"/>
      <c r="F8" s="2" t="s">
        <v>527</v>
      </c>
      <c r="G8" s="2"/>
      <c r="I8" s="2" t="s">
        <v>111</v>
      </c>
      <c r="J8" s="2" t="s">
        <v>528</v>
      </c>
      <c r="K8" s="2" t="s">
        <v>256</v>
      </c>
      <c r="L8" s="2"/>
      <c r="M8" s="2"/>
    </row>
    <row r="9" spans="2:13">
      <c r="D9" s="1" t="s">
        <v>296</v>
      </c>
      <c r="I9" s="2" t="s">
        <v>123</v>
      </c>
      <c r="J9" s="2"/>
      <c r="K9" s="2"/>
      <c r="L9" s="2"/>
      <c r="M9" s="2"/>
    </row>
  </sheetData>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BEEA5-1E92-4155-9F46-BA5DEB747DF0}">
  <dimension ref="B3:J28"/>
  <sheetViews>
    <sheetView topLeftCell="A6" workbookViewId="0">
      <selection activeCell="C6" sqref="C6"/>
    </sheetView>
  </sheetViews>
  <sheetFormatPr defaultRowHeight="18"/>
  <cols>
    <col min="2" max="2" width="36" bestFit="1" customWidth="1"/>
    <col min="3" max="3" width="13.58203125" bestFit="1" customWidth="1"/>
    <col min="9" max="9" width="13.58203125" customWidth="1"/>
  </cols>
  <sheetData>
    <row r="3" spans="2:10">
      <c r="B3" s="81" t="s">
        <v>529</v>
      </c>
      <c r="C3" s="81"/>
      <c r="D3" s="81"/>
      <c r="E3" s="81"/>
      <c r="F3" s="81"/>
      <c r="G3" s="81"/>
      <c r="H3" s="81"/>
      <c r="I3" s="81"/>
      <c r="J3" s="81" t="s">
        <v>530</v>
      </c>
    </row>
    <row r="4" spans="2:10">
      <c r="B4" s="83" t="s">
        <v>531</v>
      </c>
      <c r="C4" s="84" t="s">
        <v>532</v>
      </c>
      <c r="D4" s="84" t="s">
        <v>533</v>
      </c>
      <c r="E4" s="84" t="s">
        <v>222</v>
      </c>
      <c r="F4" s="84" t="s">
        <v>444</v>
      </c>
      <c r="G4" s="84" t="s">
        <v>163</v>
      </c>
      <c r="H4" s="84" t="s">
        <v>244</v>
      </c>
      <c r="I4" s="84" t="s">
        <v>534</v>
      </c>
      <c r="J4" s="84" t="s">
        <v>535</v>
      </c>
    </row>
    <row r="5" spans="2:10">
      <c r="B5" s="83" t="s">
        <v>536</v>
      </c>
      <c r="C5" s="84" t="s">
        <v>537</v>
      </c>
      <c r="D5" s="85">
        <v>3100</v>
      </c>
      <c r="E5" s="85"/>
      <c r="F5" s="85"/>
      <c r="G5" s="85"/>
      <c r="H5" s="85"/>
      <c r="I5" s="85">
        <v>5000</v>
      </c>
      <c r="J5" s="85">
        <f>SUM(D5:I5)</f>
        <v>8100</v>
      </c>
    </row>
    <row r="6" spans="2:10">
      <c r="B6" s="83" t="s">
        <v>538</v>
      </c>
      <c r="C6" s="84" t="s">
        <v>537</v>
      </c>
      <c r="D6" s="85"/>
      <c r="E6" s="85"/>
      <c r="F6" s="85"/>
      <c r="G6" s="85"/>
      <c r="H6" s="85"/>
      <c r="I6" s="85"/>
      <c r="J6" s="85">
        <f t="shared" ref="J6:J13" si="0">SUM(D6:I6)</f>
        <v>0</v>
      </c>
    </row>
    <row r="7" spans="2:10">
      <c r="B7" s="83" t="s">
        <v>206</v>
      </c>
      <c r="C7" s="84" t="s">
        <v>537</v>
      </c>
      <c r="D7" s="85"/>
      <c r="E7" s="85"/>
      <c r="F7" s="85"/>
      <c r="G7" s="85">
        <v>5000</v>
      </c>
      <c r="H7" s="85"/>
      <c r="I7" s="85">
        <v>9000</v>
      </c>
      <c r="J7" s="85">
        <f t="shared" si="0"/>
        <v>14000</v>
      </c>
    </row>
    <row r="8" spans="2:10">
      <c r="B8" s="83" t="s">
        <v>420</v>
      </c>
      <c r="C8" s="84" t="s">
        <v>539</v>
      </c>
      <c r="D8" s="85"/>
      <c r="E8" s="85">
        <v>3500</v>
      </c>
      <c r="F8" s="85"/>
      <c r="G8" s="85"/>
      <c r="H8" s="85"/>
      <c r="I8" s="85">
        <v>8000</v>
      </c>
      <c r="J8" s="85">
        <f>SUM(D8:I8)</f>
        <v>11500</v>
      </c>
    </row>
    <row r="9" spans="2:10">
      <c r="B9" s="83" t="s">
        <v>379</v>
      </c>
      <c r="C9" s="84" t="s">
        <v>540</v>
      </c>
      <c r="D9" s="85">
        <v>44950</v>
      </c>
      <c r="E9" s="85"/>
      <c r="F9" s="85"/>
      <c r="G9" s="85"/>
      <c r="H9" s="85"/>
      <c r="I9" s="85">
        <v>30000</v>
      </c>
      <c r="J9" s="85">
        <f t="shared" si="0"/>
        <v>74950</v>
      </c>
    </row>
    <row r="10" spans="2:10">
      <c r="B10" s="83" t="s">
        <v>373</v>
      </c>
      <c r="C10" s="84" t="s">
        <v>265</v>
      </c>
      <c r="D10" s="85"/>
      <c r="E10" s="85"/>
      <c r="F10" s="85"/>
      <c r="G10" s="85"/>
      <c r="H10" s="85"/>
      <c r="I10" s="85"/>
      <c r="J10" s="85">
        <f t="shared" si="0"/>
        <v>0</v>
      </c>
    </row>
    <row r="11" spans="2:10">
      <c r="B11" s="83" t="s">
        <v>541</v>
      </c>
      <c r="C11" s="84" t="s">
        <v>542</v>
      </c>
      <c r="D11" s="85"/>
      <c r="E11" s="85"/>
      <c r="F11" s="85"/>
      <c r="G11" s="85"/>
      <c r="H11" s="85"/>
      <c r="I11" s="85"/>
      <c r="J11" s="85">
        <f t="shared" si="0"/>
        <v>0</v>
      </c>
    </row>
    <row r="12" spans="2:10">
      <c r="B12" s="83" t="s">
        <v>543</v>
      </c>
      <c r="C12" s="84" t="s">
        <v>162</v>
      </c>
      <c r="D12" s="85"/>
      <c r="E12" s="85"/>
      <c r="F12" s="85"/>
      <c r="G12" s="85"/>
      <c r="H12" s="85"/>
      <c r="I12" s="85"/>
      <c r="J12" s="85">
        <f t="shared" si="0"/>
        <v>0</v>
      </c>
    </row>
    <row r="13" spans="2:10">
      <c r="B13" s="83" t="s">
        <v>544</v>
      </c>
      <c r="C13" s="84" t="s">
        <v>203</v>
      </c>
      <c r="D13" s="85">
        <v>400</v>
      </c>
      <c r="E13" s="85">
        <v>0</v>
      </c>
      <c r="F13" s="85">
        <v>0</v>
      </c>
      <c r="G13" s="85">
        <v>0</v>
      </c>
      <c r="H13" s="85">
        <v>12000</v>
      </c>
      <c r="I13" s="85">
        <v>0</v>
      </c>
      <c r="J13" s="85">
        <f t="shared" si="0"/>
        <v>12400</v>
      </c>
    </row>
    <row r="14" spans="2:10">
      <c r="B14" s="94" t="s">
        <v>535</v>
      </c>
      <c r="C14" s="94"/>
      <c r="D14" s="85">
        <f>SUM(D5:D13)</f>
        <v>48450</v>
      </c>
      <c r="E14" s="85">
        <f t="shared" ref="E14:J14" si="1">SUM(E5:E13)</f>
        <v>3500</v>
      </c>
      <c r="F14" s="85">
        <f t="shared" si="1"/>
        <v>0</v>
      </c>
      <c r="G14" s="85">
        <f t="shared" si="1"/>
        <v>5000</v>
      </c>
      <c r="H14" s="85">
        <f t="shared" si="1"/>
        <v>12000</v>
      </c>
      <c r="I14" s="85">
        <f t="shared" si="1"/>
        <v>52000</v>
      </c>
      <c r="J14" s="85">
        <f t="shared" si="1"/>
        <v>120950</v>
      </c>
    </row>
    <row r="15" spans="2:10">
      <c r="B15" s="82"/>
      <c r="C15" s="81"/>
      <c r="D15" s="81"/>
      <c r="E15" s="81"/>
      <c r="F15" s="81"/>
      <c r="G15" s="81"/>
      <c r="H15" s="81"/>
      <c r="I15" s="81"/>
      <c r="J15" s="81"/>
    </row>
    <row r="16" spans="2:10">
      <c r="B16" s="82"/>
      <c r="C16" s="81"/>
      <c r="D16" s="81"/>
      <c r="E16" s="81"/>
      <c r="F16" s="81"/>
      <c r="G16" s="81"/>
      <c r="H16" s="81"/>
      <c r="I16" s="81"/>
      <c r="J16" s="81"/>
    </row>
    <row r="17" spans="2:10">
      <c r="B17" s="81" t="s">
        <v>545</v>
      </c>
      <c r="C17" s="81"/>
      <c r="D17" s="81"/>
      <c r="E17" s="81"/>
      <c r="F17" s="81"/>
      <c r="G17" s="81"/>
      <c r="H17" s="81"/>
      <c r="I17" s="81"/>
      <c r="J17" s="81" t="s">
        <v>530</v>
      </c>
    </row>
    <row r="18" spans="2:10">
      <c r="B18" s="83" t="s">
        <v>531</v>
      </c>
      <c r="C18" s="84" t="s">
        <v>532</v>
      </c>
      <c r="D18" s="84" t="s">
        <v>533</v>
      </c>
      <c r="E18" s="84" t="s">
        <v>222</v>
      </c>
      <c r="F18" s="84" t="s">
        <v>444</v>
      </c>
      <c r="G18" s="84" t="s">
        <v>163</v>
      </c>
      <c r="H18" s="84" t="s">
        <v>244</v>
      </c>
      <c r="I18" s="84" t="s">
        <v>534</v>
      </c>
      <c r="J18" s="84" t="s">
        <v>535</v>
      </c>
    </row>
    <row r="19" spans="2:10">
      <c r="B19" s="83" t="s">
        <v>536</v>
      </c>
      <c r="C19" s="84" t="s">
        <v>537</v>
      </c>
      <c r="D19" s="85">
        <f>D5</f>
        <v>3100</v>
      </c>
      <c r="E19" s="85">
        <f>E5*【管理用】プルダウン!E$4</f>
        <v>0</v>
      </c>
      <c r="F19" s="85">
        <f>F5*【管理用】プルダウン!E$5</f>
        <v>0</v>
      </c>
      <c r="G19" s="85">
        <f>G5*【管理用】プルダウン!E$6</f>
        <v>0</v>
      </c>
      <c r="H19" s="85">
        <f>H5*【管理用】プルダウン!E$7</f>
        <v>0</v>
      </c>
      <c r="I19" s="85" t="s">
        <v>546</v>
      </c>
      <c r="J19" s="85">
        <f>SUM(D19:I19)</f>
        <v>3100</v>
      </c>
    </row>
    <row r="20" spans="2:10">
      <c r="B20" s="83" t="s">
        <v>538</v>
      </c>
      <c r="C20" s="84" t="s">
        <v>537</v>
      </c>
      <c r="D20" s="85">
        <f>D6</f>
        <v>0</v>
      </c>
      <c r="E20" s="85">
        <f>E6*【管理用】プルダウン!E$4</f>
        <v>0</v>
      </c>
      <c r="F20" s="85">
        <f>F6*【管理用】プルダウン!E$5</f>
        <v>0</v>
      </c>
      <c r="G20" s="85">
        <f>G6*【管理用】プルダウン!E$6</f>
        <v>0</v>
      </c>
      <c r="H20" s="85">
        <f>H6*【管理用】プルダウン!E$7</f>
        <v>0</v>
      </c>
      <c r="I20" s="85" t="s">
        <v>546</v>
      </c>
      <c r="J20" s="85">
        <f t="shared" ref="J20:J26" si="2">SUM(D20:I20)</f>
        <v>0</v>
      </c>
    </row>
    <row r="21" spans="2:10">
      <c r="B21" s="83" t="s">
        <v>206</v>
      </c>
      <c r="C21" s="84" t="s">
        <v>537</v>
      </c>
      <c r="D21" s="85">
        <f>D7</f>
        <v>0</v>
      </c>
      <c r="E21" s="85">
        <f>E7*【管理用】プルダウン!E$4</f>
        <v>0</v>
      </c>
      <c r="F21" s="85">
        <f>F7*【管理用】プルダウン!E$5</f>
        <v>0</v>
      </c>
      <c r="G21" s="85">
        <f>G7*【管理用】プルダウン!E$6</f>
        <v>1500</v>
      </c>
      <c r="H21" s="85">
        <f>H7*【管理用】プルダウン!E$7</f>
        <v>0</v>
      </c>
      <c r="I21" s="85" t="s">
        <v>546</v>
      </c>
      <c r="J21" s="85">
        <f t="shared" si="2"/>
        <v>1500</v>
      </c>
    </row>
    <row r="22" spans="2:10">
      <c r="B22" s="83" t="s">
        <v>420</v>
      </c>
      <c r="C22" s="84" t="s">
        <v>537</v>
      </c>
      <c r="D22" s="85">
        <f>D8</f>
        <v>0</v>
      </c>
      <c r="E22" s="85">
        <f>E8*【管理用】プルダウン!E$4</f>
        <v>3150</v>
      </c>
      <c r="F22" s="85">
        <f>F8*【管理用】プルダウン!E$5</f>
        <v>0</v>
      </c>
      <c r="G22" s="85">
        <f>G8*【管理用】プルダウン!E$6</f>
        <v>0</v>
      </c>
      <c r="H22" s="85">
        <f>H8*【管理用】プルダウン!E$7</f>
        <v>0</v>
      </c>
      <c r="I22" s="85" t="s">
        <v>546</v>
      </c>
      <c r="J22" s="85">
        <f>SUM(D22:I22)</f>
        <v>3150</v>
      </c>
    </row>
    <row r="23" spans="2:10">
      <c r="B23" s="83" t="s">
        <v>379</v>
      </c>
      <c r="C23" s="84" t="s">
        <v>540</v>
      </c>
      <c r="D23" s="85">
        <f t="shared" ref="D23:D26" si="3">D9</f>
        <v>44950</v>
      </c>
      <c r="E23" s="85">
        <f>E9*【管理用】プルダウン!E$4</f>
        <v>0</v>
      </c>
      <c r="F23" s="85">
        <f>F9*【管理用】プルダウン!E$5</f>
        <v>0</v>
      </c>
      <c r="G23" s="85">
        <f>G9*【管理用】プルダウン!E$6</f>
        <v>0</v>
      </c>
      <c r="H23" s="85">
        <f>H9*【管理用】プルダウン!E$7</f>
        <v>0</v>
      </c>
      <c r="I23" s="85" t="s">
        <v>546</v>
      </c>
      <c r="J23" s="85">
        <f t="shared" si="2"/>
        <v>44950</v>
      </c>
    </row>
    <row r="24" spans="2:10">
      <c r="B24" s="83" t="s">
        <v>373</v>
      </c>
      <c r="C24" s="84" t="s">
        <v>265</v>
      </c>
      <c r="D24" s="85">
        <f t="shared" si="3"/>
        <v>0</v>
      </c>
      <c r="E24" s="85">
        <f>E10*【管理用】プルダウン!E$4</f>
        <v>0</v>
      </c>
      <c r="F24" s="85">
        <f>F10*【管理用】プルダウン!E$5</f>
        <v>0</v>
      </c>
      <c r="G24" s="85">
        <f>G10*【管理用】プルダウン!E$6</f>
        <v>0</v>
      </c>
      <c r="H24" s="85">
        <f>H10*【管理用】プルダウン!E$7</f>
        <v>0</v>
      </c>
      <c r="I24" s="85" t="s">
        <v>546</v>
      </c>
      <c r="J24" s="85">
        <f t="shared" si="2"/>
        <v>0</v>
      </c>
    </row>
    <row r="25" spans="2:10">
      <c r="B25" s="83" t="s">
        <v>541</v>
      </c>
      <c r="C25" s="84" t="s">
        <v>542</v>
      </c>
      <c r="D25" s="85">
        <f t="shared" si="3"/>
        <v>0</v>
      </c>
      <c r="E25" s="85">
        <f>E11*【管理用】プルダウン!E$4</f>
        <v>0</v>
      </c>
      <c r="F25" s="85">
        <f>F11*【管理用】プルダウン!E$5</f>
        <v>0</v>
      </c>
      <c r="G25" s="85">
        <f>G11*【管理用】プルダウン!E$6</f>
        <v>0</v>
      </c>
      <c r="H25" s="85">
        <f>H11*【管理用】プルダウン!E$7</f>
        <v>0</v>
      </c>
      <c r="I25" s="85" t="s">
        <v>546</v>
      </c>
      <c r="J25" s="85">
        <f t="shared" si="2"/>
        <v>0</v>
      </c>
    </row>
    <row r="26" spans="2:10">
      <c r="B26" s="83" t="s">
        <v>543</v>
      </c>
      <c r="C26" s="84" t="s">
        <v>162</v>
      </c>
      <c r="D26" s="85">
        <f t="shared" si="3"/>
        <v>0</v>
      </c>
      <c r="E26" s="85">
        <f>E12*【管理用】プルダウン!E$4</f>
        <v>0</v>
      </c>
      <c r="F26" s="85">
        <f>F12*【管理用】プルダウン!E$5</f>
        <v>0</v>
      </c>
      <c r="G26" s="85">
        <f>G12*【管理用】プルダウン!E$6</f>
        <v>0</v>
      </c>
      <c r="H26" s="85">
        <f>H12*【管理用】プルダウン!E$7</f>
        <v>0</v>
      </c>
      <c r="I26" s="85" t="s">
        <v>546</v>
      </c>
      <c r="J26" s="85">
        <f t="shared" si="2"/>
        <v>0</v>
      </c>
    </row>
    <row r="27" spans="2:10">
      <c r="B27" s="83" t="s">
        <v>544</v>
      </c>
      <c r="C27" s="84" t="s">
        <v>203</v>
      </c>
      <c r="D27" s="85">
        <f>D13</f>
        <v>400</v>
      </c>
      <c r="E27" s="85">
        <f>E13*【管理用】プルダウン!E$4</f>
        <v>0</v>
      </c>
      <c r="F27" s="85">
        <f>F13*【管理用】プルダウン!E$5</f>
        <v>0</v>
      </c>
      <c r="G27" s="85">
        <f>G13*【管理用】プルダウン!E$6</f>
        <v>0</v>
      </c>
      <c r="H27" s="85">
        <f>H13*【管理用】プルダウン!E$7</f>
        <v>2400</v>
      </c>
      <c r="I27" s="85" t="s">
        <v>546</v>
      </c>
      <c r="J27" s="85">
        <f>SUM(D27:I27)</f>
        <v>2800</v>
      </c>
    </row>
    <row r="28" spans="2:10">
      <c r="B28" s="94" t="s">
        <v>535</v>
      </c>
      <c r="C28" s="94"/>
      <c r="D28" s="85">
        <f>SUM(D19:D27)</f>
        <v>48450</v>
      </c>
      <c r="E28" s="85">
        <f t="shared" ref="E28:H28" si="4">SUM(E19:E27)</f>
        <v>3150</v>
      </c>
      <c r="F28" s="85">
        <f t="shared" si="4"/>
        <v>0</v>
      </c>
      <c r="G28" s="85">
        <f t="shared" si="4"/>
        <v>1500</v>
      </c>
      <c r="H28" s="85">
        <f t="shared" si="4"/>
        <v>2400</v>
      </c>
      <c r="I28" s="85" t="s">
        <v>546</v>
      </c>
      <c r="J28" s="85">
        <f>SUM(D28:I28)</f>
        <v>55500</v>
      </c>
    </row>
  </sheetData>
  <mergeCells count="2">
    <mergeCell ref="B14:C14"/>
    <mergeCell ref="B28:C28"/>
  </mergeCells>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CA5FECBC25BA24BA5CD14E8C7F0323D" ma:contentTypeVersion="13" ma:contentTypeDescription="新しいドキュメントを作成します。" ma:contentTypeScope="" ma:versionID="b13e93d7a9b3de395771d87164f4aaaa">
  <xsd:schema xmlns:xsd="http://www.w3.org/2001/XMLSchema" xmlns:xs="http://www.w3.org/2001/XMLSchema" xmlns:p="http://schemas.microsoft.com/office/2006/metadata/properties" xmlns:ns2="9652a612-d1e7-4cdb-b501-2e818a34e9d3" xmlns:ns3="9b5074f9-655f-4507-8d7e-67a8c420c574" targetNamespace="http://schemas.microsoft.com/office/2006/metadata/properties" ma:root="true" ma:fieldsID="46bbbe85260d74edea3463d01e2c46de" ns2:_="" ns3:_="">
    <xsd:import namespace="9652a612-d1e7-4cdb-b501-2e818a34e9d3"/>
    <xsd:import namespace="9b5074f9-655f-4507-8d7e-67a8c420c5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52a612-d1e7-4cdb-b501-2e818a34e9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21741cad-7170-4ad8-b35e-320fd8536be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5074f9-655f-4507-8d7e-67a8c420c5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8d87ec2-db7e-4c15-96b2-99a324af5d99}" ma:internalName="TaxCatchAll" ma:showField="CatchAllData" ma:web="9b5074f9-655f-4507-8d7e-67a8c420c5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652a612-d1e7-4cdb-b501-2e818a34e9d3">
      <Terms xmlns="http://schemas.microsoft.com/office/infopath/2007/PartnerControls"/>
    </lcf76f155ced4ddcb4097134ff3c332f>
    <TaxCatchAll xmlns="9b5074f9-655f-4507-8d7e-67a8c420c574" xsi:nil="true"/>
  </documentManagement>
</p:properties>
</file>

<file path=customXml/itemProps1.xml><?xml version="1.0" encoding="utf-8"?>
<ds:datastoreItem xmlns:ds="http://schemas.openxmlformats.org/officeDocument/2006/customXml" ds:itemID="{71194D1F-4C36-4487-B4BA-4BDF74B364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52a612-d1e7-4cdb-b501-2e818a34e9d3"/>
    <ds:schemaRef ds:uri="9b5074f9-655f-4507-8d7e-67a8c420c5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80651A-772D-47A6-82FE-CD723FD2CB32}">
  <ds:schemaRefs>
    <ds:schemaRef ds:uri="http://schemas.microsoft.com/sharepoint/v3/contenttype/forms"/>
  </ds:schemaRefs>
</ds:datastoreItem>
</file>

<file path=customXml/itemProps3.xml><?xml version="1.0" encoding="utf-8"?>
<ds:datastoreItem xmlns:ds="http://schemas.openxmlformats.org/officeDocument/2006/customXml" ds:itemID="{09DADFC4-2815-43EB-A72C-DFE086AAEDE4}">
  <ds:schemaRefs>
    <ds:schemaRef ds:uri="http://schemas.microsoft.com/office/2006/metadata/properties"/>
    <ds:schemaRef ds:uri="http://schemas.microsoft.com/office/infopath/2007/PartnerControls"/>
    <ds:schemaRef ds:uri="9652a612-d1e7-4cdb-b501-2e818a34e9d3"/>
    <ds:schemaRef ds:uri="9b5074f9-655f-4507-8d7e-67a8c420c5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【表示用】各メンバーCH</vt:lpstr>
      <vt:lpstr>【表示用】9期売上</vt:lpstr>
      <vt:lpstr>【表示用】案件ごと売上</vt:lpstr>
      <vt:lpstr>【入力用①】パイプライン</vt:lpstr>
      <vt:lpstr>【入力用②】案件ごと売上（D案件以上）</vt:lpstr>
      <vt:lpstr>【入力用③】案件ごとCH（D案件以上）</vt:lpstr>
      <vt:lpstr>【管理用】BR_260204</vt:lpstr>
      <vt:lpstr>【管理用】プルダウン</vt:lpstr>
      <vt:lpstr>KAC売上見込み</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弓本 高志</dc:creator>
  <cp:keywords/>
  <dc:description/>
  <cp:lastModifiedBy>森 啓亮</cp:lastModifiedBy>
  <cp:revision/>
  <dcterms:created xsi:type="dcterms:W3CDTF">2015-06-05T18:19:34Z</dcterms:created>
  <dcterms:modified xsi:type="dcterms:W3CDTF">2026-02-27T01:45:03Z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0x0101007CA5FECBC25BA24BA5CD14E8C7F0323D</vt:lpwstr>
  </property>
</Properties>
</file>